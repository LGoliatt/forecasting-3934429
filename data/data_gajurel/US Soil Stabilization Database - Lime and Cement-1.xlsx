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 Soil Stabilization Database " sheetId="1" state="visible" r:id="rId2"/>
  </sheets>
  <definedNames>
    <definedName function="false" hidden="false" localSheetId="0" name="_xlnm.Print_Area" vbProcedure="false">'US Soil Stabilization Database '!$A$1:$R$238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<sst xmlns="http://schemas.openxmlformats.org/spreadsheetml/2006/main" count="537" uniqueCount="76">
  <si>
    <t xml:space="preserve">Name of Soil</t>
  </si>
  <si>
    <t xml:space="preserve">Classification (USCS)</t>
  </si>
  <si>
    <t xml:space="preserve">Organic.Content</t>
  </si>
  <si>
    <t xml:space="preserve">Sand</t>
  </si>
  <si>
    <t xml:space="preserve">Silt</t>
  </si>
  <si>
    <t xml:space="preserve">Clay</t>
  </si>
  <si>
    <t xml:space="preserve">Clay2</t>
  </si>
  <si>
    <t xml:space="preserve">Gravel</t>
  </si>
  <si>
    <t xml:space="preserve">LL</t>
  </si>
  <si>
    <t xml:space="preserve">PL</t>
  </si>
  <si>
    <t xml:space="preserve">PI</t>
  </si>
  <si>
    <t xml:space="preserve">Lime</t>
  </si>
  <si>
    <t xml:space="preserve">Cement</t>
  </si>
  <si>
    <t xml:space="preserve">UCS.psi</t>
  </si>
  <si>
    <t xml:space="preserve">UCS_std_Soaked_7Days</t>
  </si>
  <si>
    <t xml:space="preserve">UCS_std_Unsoaked_7Days</t>
  </si>
  <si>
    <t xml:space="preserve">UCS_std_Soaked_28Days</t>
  </si>
  <si>
    <t xml:space="preserve">UCS_std_Unsoaked_28Days</t>
  </si>
  <si>
    <t xml:space="preserve">Source</t>
  </si>
  <si>
    <t xml:space="preserve">Dune Sand - east central Iowa</t>
  </si>
  <si>
    <t xml:space="preserve">SP-SM</t>
  </si>
  <si>
    <t xml:space="preserve">Davidson-US-Iowa-ArmyCorp</t>
  </si>
  <si>
    <t xml:space="preserve">Kaolinite Clay - north central florida</t>
  </si>
  <si>
    <t xml:space="preserve">CH</t>
  </si>
  <si>
    <t xml:space="preserve">Illite Clay - illonois- manufactured</t>
  </si>
  <si>
    <t xml:space="preserve">Montmorillonite Clay - Kansan Gubmotil</t>
  </si>
  <si>
    <t xml:space="preserve">Alluvial</t>
  </si>
  <si>
    <t xml:space="preserve">Davidson-Iowa-State</t>
  </si>
  <si>
    <t xml:space="preserve">Sharpsburg A</t>
  </si>
  <si>
    <t xml:space="preserve">OL</t>
  </si>
  <si>
    <t xml:space="preserve">Galva A</t>
  </si>
  <si>
    <t xml:space="preserve">Marshall A</t>
  </si>
  <si>
    <t xml:space="preserve">CL</t>
  </si>
  <si>
    <t xml:space="preserve">Clinton A</t>
  </si>
  <si>
    <t xml:space="preserve">Edina A</t>
  </si>
  <si>
    <t xml:space="preserve">Sharpsburg B</t>
  </si>
  <si>
    <t xml:space="preserve">Sharpsburg C</t>
  </si>
  <si>
    <t xml:space="preserve">Marshall C</t>
  </si>
  <si>
    <t xml:space="preserve">Hamburg C</t>
  </si>
  <si>
    <t xml:space="preserve">ML</t>
  </si>
  <si>
    <t xml:space="preserve">Webster A</t>
  </si>
  <si>
    <t xml:space="preserve">Clarion A</t>
  </si>
  <si>
    <t xml:space="preserve">OH</t>
  </si>
  <si>
    <t xml:space="preserve">Kenyon A</t>
  </si>
  <si>
    <t xml:space="preserve">Lindley A</t>
  </si>
  <si>
    <t xml:space="preserve">Gumbotil</t>
  </si>
  <si>
    <t xml:space="preserve">Kansan</t>
  </si>
  <si>
    <t xml:space="preserve">Iowan</t>
  </si>
  <si>
    <t xml:space="preserve">Tazenwell</t>
  </si>
  <si>
    <t xml:space="preserve">Cary II</t>
  </si>
  <si>
    <t xml:space="preserve">Cary I</t>
  </si>
  <si>
    <t xml:space="preserve">SC</t>
  </si>
  <si>
    <t xml:space="preserve">Sand-Loess</t>
  </si>
  <si>
    <t xml:space="preserve">SM</t>
  </si>
  <si>
    <t xml:space="preserve">Davidson-HRB_page-28</t>
  </si>
  <si>
    <t xml:space="preserve">Friable Loess</t>
  </si>
  <si>
    <t xml:space="preserve">Kansan Till</t>
  </si>
  <si>
    <t xml:space="preserve">Firable Loess</t>
  </si>
  <si>
    <t xml:space="preserve">Davidsons - Cement Stabilization</t>
  </si>
  <si>
    <t xml:space="preserve">Plastic Loess</t>
  </si>
  <si>
    <t xml:space="preserve">Leached Kansan Till</t>
  </si>
  <si>
    <t xml:space="preserve">Unleached Kansan Till</t>
  </si>
  <si>
    <t xml:space="preserve">AR-2 Iowa</t>
  </si>
  <si>
    <t xml:space="preserve">Davidson - Lime Stabilization</t>
  </si>
  <si>
    <t xml:space="preserve">AR-3 Texas</t>
  </si>
  <si>
    <t xml:space="preserve">AR-7 Iowa</t>
  </si>
  <si>
    <t xml:space="preserve">AR-4 Michigan</t>
  </si>
  <si>
    <t xml:space="preserve">AR-8 Illinois</t>
  </si>
  <si>
    <t xml:space="preserve">AR-9 Illinois</t>
  </si>
  <si>
    <t xml:space="preserve">AR-5 Virginia</t>
  </si>
  <si>
    <t xml:space="preserve">AR-6 NC</t>
  </si>
  <si>
    <t xml:space="preserve">AR-10 NC</t>
  </si>
  <si>
    <t xml:space="preserve">GC</t>
  </si>
  <si>
    <t xml:space="preserve">Whitehurst - Tennesse-Gravel Stabilization</t>
  </si>
  <si>
    <t xml:space="preserve">GM</t>
  </si>
  <si>
    <t xml:space="preserve">Kansan Gumbotill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</si>
</sst>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"/>
    <numFmt numFmtId="167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70C0"/>
        <bgColor rgb="FF0563C1"/>
      </patternFill>
    </fill>
    <fill>
      <patternFill patternType="solid">
        <fgColor rgb="FFA9D18E"/>
        <bgColor rgb="FFBFBFBF"/>
      </patternFill>
    </fill>
    <fill>
      <patternFill patternType="solid">
        <fgColor rgb="FFFFE699"/>
        <bgColor rgb="FFFFFFCC"/>
      </patternFill>
    </fill>
    <fill>
      <patternFill patternType="solid">
        <fgColor rgb="FFC9C9C9"/>
        <bgColor rgb="FFBFBFBF"/>
      </patternFill>
    </fill>
    <fill>
      <patternFill patternType="solid">
        <fgColor rgb="FFF4B183"/>
        <bgColor rgb="FFFF99CC"/>
      </patternFill>
    </fill>
    <fill>
      <patternFill patternType="solid">
        <fgColor rgb="FFBFBFBF"/>
        <bgColor rgb="FFC9C9C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6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9C9C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A9D18E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457" displayName="Table1457" ref="D1:S238" headerRowCount="1" totalsRowCount="0" totalsRowShown="0">
  <autoFilter ref="D1:S238"/>
  <tableColumns count="16">
    <tableColumn id="1" name="Sand"/>
    <tableColumn id="2" name="Silt"/>
    <tableColumn id="3" name="Clay"/>
    <tableColumn id="4" name="Clay2"/>
    <tableColumn id="5" name="Gravel"/>
    <tableColumn id="6" name="LL"/>
    <tableColumn id="7" name="PL"/>
    <tableColumn id="8" name="PI"/>
    <tableColumn id="9" name="Lime"/>
    <tableColumn id="10" name="Cement"/>
    <tableColumn id="11" name="UCS.psi"/>
    <tableColumn id="12" name="UCS_std_Soaked_7Days"/>
    <tableColumn id="13" name="UCS_std_Unsoaked_7Days"/>
    <tableColumn id="14" name="UCS_std_Soaked_28Days"/>
    <tableColumn id="15" name="UCS_std_Unsoaked_28Days"/>
    <tableColumn id="16" name="Sourc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../media/amitgajurel/Amit/Boise State/MS Thesis/3. Transporation Journal/Data/Papers Used/D.T. Davidson, G.L. Pitre, M. Mateos, K.P. George, (1962), MOISTURE - DENSITY, MOISTURE - STRENGTH AND COMPACTION CHARACTERISTICS OF CEMENT-TREATED SOIL MIXTURES, 42-63" TargetMode="External"/><Relationship Id="rId2" Type="http://schemas.openxmlformats.org/officeDocument/2006/relationships/hyperlink" Target="../../../../media/amitgajurel/Amit/Boise State/MS Thesis/3. Transporation Journal/Data/Papers Used/D.T. Davidson, G.L. Pitre, M. Mateos, K.P. George, (1962), MOISTURE - DENSITY, MOISTURE - STRENGTH AND COMPACTION CHARACTERISTICS OF CEMENT-TREATED SOIL MIXTURES, 42-63" TargetMode="External"/><Relationship Id="rId3" Type="http://schemas.openxmlformats.org/officeDocument/2006/relationships/hyperlink" Target="../../../../media/amitgajurel/Amit/Boise State/MS Thesis/3. Transporation Journal/Data/Papers Used/D.T. Davidson, G.L. Pitre, M. Mateos, K.P. George, (1962), MOISTURE - DENSITY, MOISTURE - STRENGTH AND COMPACTION CHARACTERISTICS OF CEMENT-TREATED SOIL MIXTURES, 42-63" TargetMode="External"/><Relationship Id="rId4" Type="http://schemas.openxmlformats.org/officeDocument/2006/relationships/hyperlink" Target="../../../../media/amitgajurel/Amit/Boise State/MS Thesis/3. Transporation Journal/Data/Papers Used/D.T. Davidson, G.L. Pitre, M. Mateos, K.P. George, (1962), MOISTURE - DENSITY, MOISTURE - STRENGTH AND COMPACTION CHARACTERISTICS OF CEMENT-TREATED SOIL MIXTURES, 42-63" TargetMode="External"/><Relationship Id="rId5" Type="http://schemas.openxmlformats.org/officeDocument/2006/relationships/hyperlink" Target="../../../../media/amitgajurel/Amit/Boise State/MS Thesis/3. Transporation Journal/Data/Papers Used/D.T. Davidson, G.L. Pitre, M. Mateos, K.P. George, (1962), MOISTURE - DENSITY, MOISTURE - STRENGTH AND COMPACTION CHARACTERISTICS OF CEMENT-TREATED SOIL MIXTURES, 42-63" TargetMode="External"/><Relationship Id="rId6" Type="http://schemas.openxmlformats.org/officeDocument/2006/relationships/hyperlink" Target="../../../../media/amitgajurel/Amit/Boise State/MS Thesis/3. Transporation Journal/Data/Papers Used/D.T. Davidson, G.L. Pitre, M. Mateos, K.P. George, (1962), MOISTURE - DENSITY, MOISTURE - STRENGTH AND COMPACTION CHARACTERISTICS OF CEMENT-TREATED SOIL MIXTURES, 42-63" TargetMode="External"/><Relationship Id="rId7" Type="http://schemas.openxmlformats.org/officeDocument/2006/relationships/hyperlink" Target="../../../../media/amitgajurel/Amit/Boise State/MS Thesis/3. Transporation Journal/Data/Papers Used/D.T. Davidson, G.L. Pitre, M. Mateos, K.P. George, (1962), MOISTURE - DENSITY, MOISTURE - STRENGTH AND COMPACTION CHARACTERISTICS OF CEMENT-TREATED SOIL MIXTURES, 42-63" TargetMode="External"/><Relationship Id="rId8" Type="http://schemas.openxmlformats.org/officeDocument/2006/relationships/hyperlink" Target="../../../../media/amitgajurel/Amit/Boise State/MS Thesis/3. Transporation Journal/Data/Papers Used/D.T. Davidson, G.L. Pitre, M. Mateos, K.P. George, (1962), MOISTURE - DENSITY, MOISTURE - STRENGTH AND COMPACTION CHARACTERISTICS OF CEMENT-TREATED SOIL MIXTURES, 42-63" TargetMode="External"/><Relationship Id="rId9" Type="http://schemas.openxmlformats.org/officeDocument/2006/relationships/hyperlink" Target="../../../../media/amitgajurel/Amit/Boise State/MS Thesis/3. Transporation Journal/Data/Papers Used/D.T. Davidson, G.L. Pitre, M. Mateos, K.P. George, (1962), MOISTURE - DENSITY, MOISTURE - STRENGTH AND COMPACTION CHARACTERISTICS OF CEMENT-TREATED SOIL MIXTURES, 42-63" TargetMode="External"/><Relationship Id="rId10" Type="http://schemas.openxmlformats.org/officeDocument/2006/relationships/hyperlink" Target="../../../../media/amitgajurel/Amit/Boise State/MS Thesis/3. Transporation Journal/Data/Papers Used/D.T. Davidson, G.L. Pitre, M. Mateos, K.P. George, (1962), MOISTURE - DENSITY, MOISTURE - STRENGTH AND COMPACTION CHARACTERISTICS OF CEMENT-TREATED SOIL MIXTURES, 42-63" TargetMode="External"/><Relationship Id="rId11" Type="http://schemas.openxmlformats.org/officeDocument/2006/relationships/hyperlink" Target="../../../../media/amitgajurel/Amit/Boise State/MS Thesis/3. Transporation Journal/Data/Papers Used/D.T. Davidson, G.L. Pitre, M. Mateos, K.P. George, (1962), MOISTURE - DENSITY, MOISTURE - STRENGTH AND COMPACTION CHARACTERISTICS OF CEMENT-TREATED SOIL MIXTURES, 42-63" TargetMode="External"/><Relationship Id="rId12" Type="http://schemas.openxmlformats.org/officeDocument/2006/relationships/hyperlink" Target="../../../../media/amitgajurel/Amit/Boise State/MS Thesis/3. Transporation Journal/Data/Papers Used/D.T. Davidson, G.L. Pitre, M. Mateos, K.P. George, (1962), MOISTURE - DENSITY, MOISTURE - STRENGTH AND COMPACTION CHARACTERISTICS OF CEMENT-TREATED SOIL MIXTURES, 42-63" TargetMode="External"/><Relationship Id="rId13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14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15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16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17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18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19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20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21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22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23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24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25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26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27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28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29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30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31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32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33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34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35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36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37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38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39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40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41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42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43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44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45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46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47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48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49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50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51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52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53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54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55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56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57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58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59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60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61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62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63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64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65" Type="http://schemas.openxmlformats.org/officeDocument/2006/relationships/hyperlink" Target="../../../../media/amitgajurel/Amit/Boise State/MS Thesis/3. Transporation Journal/Data/Papers Used/DavidSon - Iowa State -Effect of Lime on Plasticity and Compressive strength of representative Iowa Soils.pdf" TargetMode="External"/><Relationship Id="rId66" Type="http://schemas.openxmlformats.org/officeDocument/2006/relationships/hyperlink" Target="../../../../media/amitgajurel/Amit/Boise State/MS Thesis/3. Transporation Journal/Data/Papers Used/HRB Bullentin 267 soil stabilization by admixing portland cement.pdf" TargetMode="External"/><Relationship Id="rId67" Type="http://schemas.openxmlformats.org/officeDocument/2006/relationships/hyperlink" Target="../../../../media/amitgajurel/Amit/Boise State/MS Thesis/3. Transporation Journal/Data/Papers Used/HRB Bullentin 267 soil stabilization by admixing portland cement.pdf" TargetMode="External"/><Relationship Id="rId68" Type="http://schemas.openxmlformats.org/officeDocument/2006/relationships/hyperlink" Target="../../../../media/amitgajurel/Amit/Boise State/MS Thesis/3. Transporation Journal/Data/Papers Used/HRB Bullentin 267 soil stabilization by admixing portland cement.pdf" TargetMode="External"/><Relationship Id="rId69" Type="http://schemas.openxmlformats.org/officeDocument/2006/relationships/hyperlink" Target="../../../../media/amitgajurel/Amit/Boise State/MS Thesis/3. Transporation Journal/Data/Papers Used/HRB Bullentin 267 soil stabilization by admixing portland cement.pdf" TargetMode="External"/><Relationship Id="rId70" Type="http://schemas.openxmlformats.org/officeDocument/2006/relationships/hyperlink" Target="../../../../media/amitgajurel/Amit/Boise State/MS Thesis/3. Transporation Journal/Data/Papers Used/HRB Bullentin 267 soil stabilization by admixing portland cement.pdf" TargetMode="External"/><Relationship Id="rId71" Type="http://schemas.openxmlformats.org/officeDocument/2006/relationships/hyperlink" Target="../../../../media/amitgajurel/Amit/Boise State/MS Thesis/3. Transporation Journal/Data/Papers Used/HRB Bullentin 267 soil stabilization by admixing portland cement.pdf" TargetMode="External"/><Relationship Id="rId72" Type="http://schemas.openxmlformats.org/officeDocument/2006/relationships/hyperlink" Target="../../../../media/amitgajurel/Amit/Boise State/MS Thesis/3. Transporation Journal/Data/Papers Used/HRB Bullentin 267 soil stabilization by admixing portland cement.pdf" TargetMode="External"/><Relationship Id="rId73" Type="http://schemas.openxmlformats.org/officeDocument/2006/relationships/hyperlink" Target="../../../../media/amitgajurel/Amit/Boise State/MS Thesis/3. Transporation Journal/Data/Papers Used/HRB Bullentin 267 soil stabilization by admixing portland cement.pdf" TargetMode="External"/><Relationship Id="rId74" Type="http://schemas.openxmlformats.org/officeDocument/2006/relationships/hyperlink" Target="../../../../media/amitgajurel/Amit/Boise State/MS Thesis/3. Transporation Journal/Data/Papers Used/HRB Bullentin 267 soil stabilization by admixing portland cement.pdf" TargetMode="External"/><Relationship Id="rId75" Type="http://schemas.openxmlformats.org/officeDocument/2006/relationships/hyperlink" Target="../../../../media/amitgajurel/Amit/Boise State/MS Thesis/3. Transporation Journal/Data/Papers Used/HRB Bullentin 267 soil stabilization by admixing portland cement.pdf" TargetMode="External"/><Relationship Id="rId76" Type="http://schemas.openxmlformats.org/officeDocument/2006/relationships/hyperlink" Target="../../../../media/amitgajurel/Amit/Boise State/MS Thesis/3. Transporation Journal/Data/Papers Used/HRB Bullentin 267 soil stabilization by admixing portland cement.pdf" TargetMode="External"/><Relationship Id="rId77" Type="http://schemas.openxmlformats.org/officeDocument/2006/relationships/hyperlink" Target="../../../../media/amitgajurel/Amit/Boise State/MS Thesis/3. Transporation Journal/Data/Papers Used/HRB Bullentin 267 soil stabilization by admixing portland cement.pdf" TargetMode="External"/><Relationship Id="rId78" Type="http://schemas.openxmlformats.org/officeDocument/2006/relationships/hyperlink" Target="../../../../media/amitgajurel/Amit/Boise State/MS Thesis/3. Transporation Journal/Data/Papers Used/HRB Bullentin 267 soil stabilization by admixing portland cement.pdf" TargetMode="External"/><Relationship Id="rId79" Type="http://schemas.openxmlformats.org/officeDocument/2006/relationships/hyperlink" Target="../../../../media/amitgajurel/Amit/Boise State/MS Thesis/3. Transporation Journal/Data/Papers Used/HRB Bullentin 267 soil stabilization by admixing portland cement.pdf" TargetMode="External"/><Relationship Id="rId80" Type="http://schemas.openxmlformats.org/officeDocument/2006/relationships/hyperlink" Target="../../../../media/amitgajurel/Amit/Boise State/MS Thesis/3. Transporation Journal/Data/Papers Used/HRB Bullentin 267 soil stabilization by admixing portland cement.pdf" TargetMode="External"/><Relationship Id="rId81" Type="http://schemas.openxmlformats.org/officeDocument/2006/relationships/hyperlink" Target="../../../../media/amitgajurel/Amit/Boise State/MS Thesis/3. Transporation Journal/Data/Papers Used/Effect of Lime on Cement Stabilization of Montmorillonitic Soils - Pinto, Davidson, Laguros.pdf" TargetMode="External"/><Relationship Id="rId82" Type="http://schemas.openxmlformats.org/officeDocument/2006/relationships/hyperlink" Target="../../../../media/amitgajurel/Amit/Boise State/MS Thesis/3. Transporation Journal/Data/Papers Used/Effect of Lime on Cement Stabilization of Montmorillonitic Soils - Pinto, Davidson, Laguros.pdf" TargetMode="External"/><Relationship Id="rId83" Type="http://schemas.openxmlformats.org/officeDocument/2006/relationships/hyperlink" Target="../../../../media/amitgajurel/Amit/Boise State/MS Thesis/3. Transporation Journal/Data/Papers Used/Effect of Lime on Cement Stabilization of Montmorillonitic Soils - Pinto, Davidson, Laguros.pdf" TargetMode="External"/><Relationship Id="rId84" Type="http://schemas.openxmlformats.org/officeDocument/2006/relationships/hyperlink" Target="../../../../media/amitgajurel/Amit/Boise State/MS Thesis/3. Transporation Journal/Data/Papers Used/Effect of Lime on Cement Stabilization of Montmorillonitic Soils - Pinto, Davidson, Laguros.pdf" TargetMode="External"/><Relationship Id="rId85" Type="http://schemas.openxmlformats.org/officeDocument/2006/relationships/hyperlink" Target="../../../../media/amitgajurel/Amit/Boise State/MS Thesis/3. Transporation Journal/Data/Papers Used/Effect of Lime on Cement Stabilization of Montmorillonitic Soils - Pinto, Davidson, Laguros.pdf" TargetMode="External"/><Relationship Id="rId86" Type="http://schemas.openxmlformats.org/officeDocument/2006/relationships/hyperlink" Target="../../../../media/amitgajurel/Amit/Boise State/MS Thesis/3. Transporation Journal/Data/Papers Used/Effect of Lime on Cement Stabilization of Montmorillonitic Soils - Pinto, Davidson, Laguros.pdf" TargetMode="External"/><Relationship Id="rId87" Type="http://schemas.openxmlformats.org/officeDocument/2006/relationships/hyperlink" Target="../../../../media/amitgajurel/Amit/Boise State/MS Thesis/3. Transporation Journal/Data/Papers Used/Effect of Lime on Cement Stabilization of Montmorillonitic Soils - Pinto, Davidson, Laguros.pdf" TargetMode="External"/><Relationship Id="rId88" Type="http://schemas.openxmlformats.org/officeDocument/2006/relationships/hyperlink" Target="../../../../media/amitgajurel/Amit/Boise State/MS Thesis/3. Transporation Journal/Data/Papers Used/Effect of Lime on Cement Stabilization of Montmorillonitic Soils - Pinto, Davidson, Laguros.pdf" TargetMode="External"/><Relationship Id="rId89" Type="http://schemas.openxmlformats.org/officeDocument/2006/relationships/hyperlink" Target="../../../../media/amitgajurel/Amit/Boise State/MS Thesis/3. Transporation Journal/Data/Papers Used/Effect of Lime on Cement Stabilization of Montmorillonitic Soils - Pinto, Davidson, Laguros.pdf" TargetMode="External"/><Relationship Id="rId90" Type="http://schemas.openxmlformats.org/officeDocument/2006/relationships/hyperlink" Target="../../../../media/amitgajurel/Amit/Boise State/MS Thesis/3. Transporation Journal/Data/Papers Used/Effect of Lime on Cement Stabilization of Montmorillonitic Soils - Pinto, Davidson, Laguros.pdf" TargetMode="External"/><Relationship Id="rId91" Type="http://schemas.openxmlformats.org/officeDocument/2006/relationships/hyperlink" Target="../../../../media/amitgajurel/Amit/Boise State/MS Thesis/3. Transporation Journal/Data/Papers Used/Effect of Lime on Cement Stabilization of Montmorillonitic Soils - Pinto, Davidson, Laguros.pdf" TargetMode="External"/><Relationship Id="rId92" Type="http://schemas.openxmlformats.org/officeDocument/2006/relationships/hyperlink" Target="../../../../media/amitgajurel/Amit/Boise State/MS Thesis/3. Transporation Journal/Data/Papers Used/Effect of Lime on Cement Stabilization of Montmorillonitic Soils - Pinto, Davidson, Laguros.pdf" TargetMode="External"/><Relationship Id="rId93" Type="http://schemas.openxmlformats.org/officeDocument/2006/relationships/hyperlink" Target="../../../../media/amitgajurel/Amit/Boise State/MS Thesis/3. Transporation Journal/Data/Papers Used/Effect of Lime on Cement Stabilization of Montmorillonitic Soils - Pinto, Davidson, Laguros.pdf" TargetMode="External"/><Relationship Id="rId94" Type="http://schemas.openxmlformats.org/officeDocument/2006/relationships/hyperlink" Target="../../../../media/amitgajurel/Amit/Boise State/MS Thesis/3. Transporation Journal/Data/Papers Used/Effect of Lime on Cement Stabilization of Montmorillonitic Soils - Pinto, Davidson, Laguros.pdf" TargetMode="External"/><Relationship Id="rId95" Type="http://schemas.openxmlformats.org/officeDocument/2006/relationships/hyperlink" Target="../../../../media/amitgajurel/Amit/Boise State/MS Thesis/3. Transporation Journal/Data/Papers Used/Effect of Lime on Cement Stabilization of Montmorillonitic Soils - Pinto, Davidson, Laguros.pdf" TargetMode="External"/><Relationship Id="rId96" Type="http://schemas.openxmlformats.org/officeDocument/2006/relationships/hyperlink" Target="../../../../media/amitgajurel/Amit/Boise State/MS Thesis/3. Transporation Journal/Data/Papers Used/Effect of Lime on Cement Stabilization of Montmorillonitic Soils - Pinto, Davidson, Laguros.pdf" TargetMode="External"/><Relationship Id="rId97" Type="http://schemas.openxmlformats.org/officeDocument/2006/relationships/hyperlink" Target="../../../../media/amitgajurel/Amit/Boise State/MS Thesis/3. Transporation Journal/Data/Papers Used/Effect of Lime on Cement Stabilization of Montmorillonitic Soils - Pinto, Davidson, Laguros.pdf" TargetMode="External"/><Relationship Id="rId98" Type="http://schemas.openxmlformats.org/officeDocument/2006/relationships/hyperlink" Target="../../../../media/amitgajurel/Amit/Boise State/MS Thesis/3. Transporation Journal/Data/Papers Used/Effect of Lime on Cement Stabilization of Montmorillonitic Soils - Pinto, Davidson, Laguros.pdf" TargetMode="External"/><Relationship Id="rId99" Type="http://schemas.openxmlformats.org/officeDocument/2006/relationships/hyperlink" Target="../../../../media/amitgajurel/Amit/Boise State/MS Thesis/3. Transporation Journal/Data/Papers Used/Effect of Lime on Cement Stabilization of Montmorillonitic Soils - Pinto, Davidson, Laguros.pdf" TargetMode="External"/><Relationship Id="rId100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01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02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03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04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05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06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07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08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09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10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11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12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13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14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15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16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17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18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19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20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21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22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23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24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25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26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27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28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29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30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31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32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33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34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35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36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37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38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39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40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41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42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43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44" Type="http://schemas.openxmlformats.org/officeDocument/2006/relationships/hyperlink" Target="../../../../media/amitgajurel/Amit/Boise State/MS Thesis/3. Transporation Journal/Data/Papers Used/Davidson - Relation of Strength to Composition and Density of Lime-Treated Clayey Soils.pdf" TargetMode="External"/><Relationship Id="rId145" Type="http://schemas.openxmlformats.org/officeDocument/2006/relationships/hyperlink" Target="../../../../media/amitgajurel/Amit/Boise State/MS Thesis/3. Transporation Journal/Data/Papers Used/Whitehurst - Stabilization of Tennessee Gravel and Chert Bases.pdf" TargetMode="External"/><Relationship Id="rId146" Type="http://schemas.openxmlformats.org/officeDocument/2006/relationships/hyperlink" Target="../../../../media/amitgajurel/Amit/Boise State/MS Thesis/3. Transporation Journal/Data/Papers Used/Whitehurst - Stabilization of Tennessee Gravel and Chert Bases.pdf" TargetMode="External"/><Relationship Id="rId147" Type="http://schemas.openxmlformats.org/officeDocument/2006/relationships/hyperlink" Target="../../../../media/amitgajurel/Amit/Boise State/MS Thesis/3. Transporation Journal/Data/Papers Used/Whitehurst - Stabilization of Tennessee Gravel and Chert Bases.pdf" TargetMode="External"/><Relationship Id="rId148" Type="http://schemas.openxmlformats.org/officeDocument/2006/relationships/hyperlink" Target="../../../../media/amitgajurel/Amit/Boise State/MS Thesis/3. Transporation Journal/Data/Papers Used/Whitehurst - Stabilization of Tennessee Gravel and Chert Bases.pdf" TargetMode="External"/><Relationship Id="rId149" Type="http://schemas.openxmlformats.org/officeDocument/2006/relationships/hyperlink" Target="../../../../media/amitgajurel/Amit/Boise State/MS Thesis/3. Transporation Journal/Data/Papers Used/Whitehurst - Stabilization of Tennessee Gravel and Chert Bases.pdf" TargetMode="External"/><Relationship Id="rId150" Type="http://schemas.openxmlformats.org/officeDocument/2006/relationships/hyperlink" Target="../../../../media/amitgajurel/Amit/Boise State/MS Thesis/3. Transporation Journal/Data/Papers Used/Whitehurst - Stabilization of Tennessee Gravel and Chert Bases.pdf" TargetMode="External"/><Relationship Id="rId151" Type="http://schemas.openxmlformats.org/officeDocument/2006/relationships/hyperlink" Target="../../../../media/amitgajurel/Amit/Boise State/MS Thesis/3. Transporation Journal/Data/Papers Used/Whitehurst - Stabilization of Tennessee Gravel and Chert Bases.pdf" TargetMode="External"/><Relationship Id="rId152" Type="http://schemas.openxmlformats.org/officeDocument/2006/relationships/hyperlink" Target="../../../../media/amitgajurel/Amit/Boise State/MS Thesis/3. Transporation Journal/Data/Papers Used/Whitehurst - Stabilization of Tennessee Gravel and Chert Bases.pdf" TargetMode="External"/><Relationship Id="rId153" Type="http://schemas.openxmlformats.org/officeDocument/2006/relationships/hyperlink" Target="../../../../media/amitgajurel/Amit/Boise State/MS Thesis/3. Transporation Journal/Data/Papers Used/Whitehurst - Stabilization of Tennessee Gravel and Chert Bases.pdf" TargetMode="External"/><Relationship Id="rId154" Type="http://schemas.openxmlformats.org/officeDocument/2006/relationships/hyperlink" Target="../../../../media/amitgajurel/Amit/Boise State/MS Thesis/3. Transporation Journal/Data/Papers Used/Whitehurst - Stabilization of Tennessee Gravel and Chert Bases.pdf" TargetMode="External"/><Relationship Id="rId155" Type="http://schemas.openxmlformats.org/officeDocument/2006/relationships/hyperlink" Target="../../../../media/amitgajurel/Amit/Boise State/MS Thesis/3. Transporation Journal/Data/Papers Used/Whitehurst - Stabilization of Tennessee Gravel and Chert Bases.pdf" TargetMode="External"/><Relationship Id="rId156" Type="http://schemas.openxmlformats.org/officeDocument/2006/relationships/hyperlink" Target="../../../../media/amitgajurel/Amit/Boise State/MS Thesis/3. Transporation Journal/Data/Papers Used/Whitehurst - Stabilization of Tennessee Gravel and Chert Bases.pdf" TargetMode="External"/><Relationship Id="rId157" Type="http://schemas.openxmlformats.org/officeDocument/2006/relationships/hyperlink" Target="../../../../media/amitgajurel/Amit/Boise State/MS Thesis/3. Transporation Journal/Data/Papers Used/Whitehurst - Stabilization of Tennessee Gravel and Chert Bases.pdf" TargetMode="External"/><Relationship Id="rId158" Type="http://schemas.openxmlformats.org/officeDocument/2006/relationships/hyperlink" Target="../../../../media/amitgajurel/Amit/Boise State/MS Thesis/3. Transporation Journal/Data/Papers Used/Whitehurst - Stabilization of Tennessee Gravel and Chert Bases.pdf" TargetMode="External"/><Relationship Id="rId159" Type="http://schemas.openxmlformats.org/officeDocument/2006/relationships/hyperlink" Target="../../../../media/amitgajurel/Amit/Boise State/MS Thesis/3. Transporation Journal/Data/Papers Used/Whitehurst - Stabilization of Tennessee Gravel and Chert Bases.pdf" TargetMode="External"/><Relationship Id="rId160" Type="http://schemas.openxmlformats.org/officeDocument/2006/relationships/hyperlink" Target="../../../../media/amitgajurel/Amit/Boise State/MS Thesis/3. Transporation Journal/Data/Papers Used/Whitehurst - Stabilization of Tennessee Gravel and Chert Bases.pdf" TargetMode="External"/><Relationship Id="rId161" Type="http://schemas.openxmlformats.org/officeDocument/2006/relationships/hyperlink" Target="../../../../media/amitgajurel/Amit/Boise State/MS Thesis/3. Transporation Journal/Data/Papers Used/Whitehurst - Stabilization of Tennessee Gravel and Chert Bases.pdf" TargetMode="External"/><Relationship Id="rId162" Type="http://schemas.openxmlformats.org/officeDocument/2006/relationships/hyperlink" Target="../../../../media/amitgajurel/Amit/Boise State/MS Thesis/3. Transporation Journal/Data/Papers Used/Whitehurst - Stabilization of Tennessee Gravel and Chert Bases.pdf" TargetMode="External"/><Relationship Id="rId163" Type="http://schemas.openxmlformats.org/officeDocument/2006/relationships/hyperlink" Target="../../../../media/amitgajurel/Amit/Boise State/MS Thesis/3. Transporation Journal/Data/Papers Used/Whitehurst - Stabilization of Tennessee Gravel and Chert Bases.pdf" TargetMode="External"/><Relationship Id="rId164" Type="http://schemas.openxmlformats.org/officeDocument/2006/relationships/hyperlink" Target="../../../../media/amitgajurel/Amit/Boise State/MS Thesis/3. Transporation Journal/Data/Papers Used/Whitehurst - Stabilization of Tennessee Gravel and Chert Bases.pdf" TargetMode="External"/><Relationship Id="rId165" Type="http://schemas.openxmlformats.org/officeDocument/2006/relationships/hyperlink" Target="../../../../media/amitgajurel/Amit/Boise State/MS Thesis/3. Transporation Journal/Data/Papers Used/Whitehurst - Stabilization of Tennessee Gravel and Chert Bases.pdf" TargetMode="External"/><Relationship Id="rId166" Type="http://schemas.openxmlformats.org/officeDocument/2006/relationships/hyperlink" Target="../../../../media/amitgajurel/Amit/Boise State/MS Thesis/3. Transporation Journal/Data/Papers Used/Whitehurst - Stabilization of Tennessee Gravel and Chert Bases.pdf" TargetMode="External"/><Relationship Id="rId167" Type="http://schemas.openxmlformats.org/officeDocument/2006/relationships/hyperlink" Target="../../../../media/amitgajurel/Amit/Boise State/MS Thesis/3. Transporation Journal/Data/Papers Used/Whitehurst - Stabilization of Tennessee Gravel and Chert Bases.pdf" TargetMode="External"/><Relationship Id="rId168" Type="http://schemas.openxmlformats.org/officeDocument/2006/relationships/hyperlink" Target="../../../../media/amitgajurel/Amit/Boise State/MS Thesis/3. Transporation Journal/Data/Papers Used/Whitehurst - Stabilization of Tennessee Gravel and Chert Bases.pdf" TargetMode="External"/><Relationship Id="rId169" Type="http://schemas.openxmlformats.org/officeDocument/2006/relationships/hyperlink" Target="../../../../media/amitgajurel/Amit/Boise State/MS Thesis/3. Transporation Journal/Data/Papers Used/Davidson - Improvement of Lime Stabilization of Montmorillonitic Clay Soils with Chemical Additives.pdf" TargetMode="External"/><Relationship Id="rId170" Type="http://schemas.openxmlformats.org/officeDocument/2006/relationships/hyperlink" Target="../../../../media/amitgajurel/Amit/Boise State/MS Thesis/3. Transporation Journal/Data/Papers Used/Davidson - Improvement of Lime Stabilization of Montmorillonitic Clay Soils with Chemical Additives.pdf" TargetMode="External"/><Relationship Id="rId171" Type="http://schemas.openxmlformats.org/officeDocument/2006/relationships/hyperlink" Target="../../../../media/amitgajurel/Amit/Boise State/MS Thesis/3. Transporation Journal/Data/Papers Used/Davidson - Improvement of Lime Stabilization of Montmorillonitic Clay Soils with Chemical Additives.pdf" TargetMode="External"/><Relationship Id="rId172" Type="http://schemas.openxmlformats.org/officeDocument/2006/relationships/hyperlink" Target="../../../../media/amitgajurel/Amit/Boise State/MS Thesis/3. Transporation Journal/Data/Papers Used/Davidson - Improvement of Lime Stabilization of Montmorillonitic Clay Soils with Chemical Additives.pdf" TargetMode="External"/><Relationship Id="rId173" Type="http://schemas.openxmlformats.org/officeDocument/2006/relationships/hyperlink" Target="../../../../media/amitgajurel/Amit/Boise State/MS Thesis/3. Transporation Journal/Data/Papers Used/Davidson - Improvement of Lime Stabilization of Montmorillonitic Clay Soils with Chemical Additives.pdf" TargetMode="External"/><Relationship Id="rId174" Type="http://schemas.openxmlformats.org/officeDocument/2006/relationships/hyperlink" Target="../../../../media/amitgajurel/Amit/Boise State/MS Thesis/3. Transporation Journal/Data/Papers Used/Davidson - Improvement of Lime Stabilization of Montmorillonitic Clay Soils with Chemical Additives.pdf" TargetMode="External"/><Relationship Id="rId175" Type="http://schemas.openxmlformats.org/officeDocument/2006/relationships/hyperlink" Target="../../../../media/amitgajurel/Amit/Boise State/MS Thesis/3. Transporation Journal/Data/Papers Used/Davidson - Improvement of Lime Stabilization of Montmorillonitic Clay Soils with Chemical Additives.pdf" TargetMode="External"/><Relationship Id="rId176" Type="http://schemas.openxmlformats.org/officeDocument/2006/relationships/hyperlink" Target="../../../../media/amitgajurel/Amit/Boise State/MS Thesis/3. Transporation Journal/Data/Papers Used/Davidson - Improvement of Lime Stabilization of Montmorillonitic Clay Soils with Chemical Additives.pdf" TargetMode="External"/><Relationship Id="rId177" Type="http://schemas.openxmlformats.org/officeDocument/2006/relationships/hyperlink" Target="../../../../media/amitgajurel/Amit/Boise State/MS Thesis/3. Transporation Journal/Data/Papers Used/Davidson - Improvement of Lime Stabilization of Montmorillonitic Clay Soils with Chemical Additives.pdf" TargetMode="External"/><Relationship Id="rId178" Type="http://schemas.openxmlformats.org/officeDocument/2006/relationships/hyperlink" Target="../../../../media/amitgajurel/Amit/Boise State/MS Thesis/3. Transporation Journal/Data/Papers Used/Davidson - Improvement of Lime Stabilization of Montmorillonitic Clay Soils with Chemical Additives.pdf" TargetMode="External"/><Relationship Id="rId179" Type="http://schemas.openxmlformats.org/officeDocument/2006/relationships/hyperlink" Target="../../../../media/amitgajurel/Amit/Boise State/MS Thesis/3. Transporation Journal/Data/Papers Used/Davidson - Improvement of Lime Stabilization of Montmorillonitic Clay Soils with Chemical Additives.pdf" TargetMode="External"/><Relationship Id="rId180" Type="http://schemas.openxmlformats.org/officeDocument/2006/relationships/hyperlink" Target="../../../../media/amitgajurel/Amit/Boise State/MS Thesis/3. Transporation Journal/Data/Papers Used/Davidson - Improvement of Lime Stabilization of Montmorillonitic Clay Soils with Chemical Additives.pdf" TargetMode="External"/><Relationship Id="rId181" Type="http://schemas.openxmlformats.org/officeDocument/2006/relationships/hyperlink" Target="../../../../media/amitgajurel/Amit/Boise State/MS Thesis/3. Transporation Journal/Data/Papers Used/Davidson - Improvement of Lime Stabilization of Montmorillonitic Clay Soils with Chemical Additives.pdf" TargetMode="External"/><Relationship Id="rId182" Type="http://schemas.openxmlformats.org/officeDocument/2006/relationships/hyperlink" Target="../../../../media/amitgajurel/Amit/Boise State/MS Thesis/3. Transporation Journal/Data/Papers Used/Davidson - Improvement of Lime Stabilization of Montmorillonitic Clay Soils with Chemical Additives.pdf" TargetMode="External"/><Relationship Id="rId183" Type="http://schemas.openxmlformats.org/officeDocument/2006/relationships/hyperlink" Target="../../../../media/amitgajurel/Amit/Boise State/MS Thesis/3. Transporation Journal/Data/Papers Used/Davidson - Improvement of Lime Stabilization of Montmorillonitic Clay Soils with Chemical Additives.pdf" TargetMode="External"/><Relationship Id="rId184" Type="http://schemas.openxmlformats.org/officeDocument/2006/relationships/hyperlink" Target="../../../../media/amitgajurel/Amit/Boise State/MS Thesis/3. Transporation Journal/Data/Papers Used/Davidson - Improvement of Lime Stabilization of Montmorillonitic Clay Soils with Chemical Additives.pdf" TargetMode="External"/><Relationship Id="rId185" Type="http://schemas.openxmlformats.org/officeDocument/2006/relationships/hyperlink" Target="../../../../media/amitgajurel/Amit/Boise State/MS Thesis/3. Transporation Journal/Data/Papers Used/Davidson - Improvement of Lime Stabilization of Montmorillonitic Clay Soils with Chemical Additives.pdf" TargetMode="External"/><Relationship Id="rId186" Type="http://schemas.openxmlformats.org/officeDocument/2006/relationships/hyperlink" Target="../../../../media/amitgajurel/Amit/Boise State/MS Thesis/3. Transporation Journal/Data/Papers Used/Davidson - Improvement of Lime Stabilization of Montmorillonitic Clay Soils with Chemical Additives.pdf" TargetMode="External"/><Relationship Id="rId187" Type="http://schemas.openxmlformats.org/officeDocument/2006/relationships/hyperlink" Target="../../../../media/amitgajurel/Amit/Boise State/MS Thesis/3. Transporation Journal/Data/Papers Used/Davidson - Improvement of Lime Stabilization of Montmorillonitic Clay Soils with Chemical Additives.pdf" TargetMode="External"/><Relationship Id="rId188" Type="http://schemas.openxmlformats.org/officeDocument/2006/relationships/hyperlink" Target="../../../../media/amitgajurel/Amit/Boise State/MS Thesis/3. Transporation Journal/Data/Papers Used/Davidson - Improvement of Lime Stabilization of Montmorillonitic Clay Soils with Chemical Additives.pdf" TargetMode="External"/><Relationship Id="rId189" Type="http://schemas.openxmlformats.org/officeDocument/2006/relationships/hyperlink" Target="../../../../media/amitgajurel/Amit/Boise State/MS Thesis/3. Transporation Journal/Data/Papers Used/Davidson - Improvement of Lime Stabilization of Montmorillonitic Clay Soils with Chemical Additives.pdf" TargetMode="External"/><Relationship Id="rId190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1" activeCellId="0" sqref="T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02"/>
    <col collapsed="false" customWidth="true" hidden="false" outlineLevel="0" max="3" min="2" style="1" width="15.12"/>
    <col collapsed="false" customWidth="false" hidden="false" outlineLevel="0" max="13" min="4" style="1" width="11.52"/>
    <col collapsed="false" customWidth="true" hidden="false" outlineLevel="0" max="14" min="14" style="1" width="14.94"/>
    <col collapsed="false" customWidth="true" hidden="false" outlineLevel="0" max="18" min="15" style="1" width="19.26"/>
    <col collapsed="false" customWidth="true" hidden="false" outlineLevel="0" max="19" min="19" style="1" width="50.22"/>
    <col collapsed="false" customWidth="false" hidden="false" outlineLevel="0" max="1021" min="20" style="1" width="11.52"/>
  </cols>
  <sheetData>
    <row r="1" s="6" customFormat="true" ht="53.2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AMH1" s="0"/>
      <c r="AMI1" s="0"/>
      <c r="AMJ1" s="0"/>
    </row>
    <row r="2" s="13" customFormat="true" ht="15" hidden="false" customHeight="true" outlineLevel="0" collapsed="false">
      <c r="A2" s="7" t="s">
        <v>19</v>
      </c>
      <c r="B2" s="8" t="s">
        <v>20</v>
      </c>
      <c r="C2" s="9" t="n">
        <v>0.04</v>
      </c>
      <c r="D2" s="10" t="n">
        <v>94.4</v>
      </c>
      <c r="E2" s="10" t="n">
        <v>1.6</v>
      </c>
      <c r="F2" s="10" t="n">
        <v>4</v>
      </c>
      <c r="G2" s="10" t="n">
        <f aca="false">Table1457[[#This Row],[Clay]]+Table1457[[#This Row],[Silt]]</f>
        <v>5.6</v>
      </c>
      <c r="H2" s="9" t="n">
        <f aca="false">100-Table1457[[#This Row],[Clay2]]-Table1457[[#This Row],[Sand]]</f>
        <v>0</v>
      </c>
      <c r="I2" s="10" t="n">
        <v>19</v>
      </c>
      <c r="J2" s="10" t="n">
        <v>19</v>
      </c>
      <c r="K2" s="10" t="n">
        <v>0</v>
      </c>
      <c r="L2" s="9"/>
      <c r="M2" s="9" t="n">
        <v>8</v>
      </c>
      <c r="N2" s="11" t="n">
        <f aca="false">Table1457[[#This Row],[UCS_std_Soaked_7Days]]</f>
        <v>235</v>
      </c>
      <c r="O2" s="9" t="n">
        <v>235</v>
      </c>
      <c r="P2" s="8" t="n">
        <v>250</v>
      </c>
      <c r="Q2" s="8"/>
      <c r="R2" s="8"/>
      <c r="S2" s="12" t="s">
        <v>21</v>
      </c>
      <c r="AMH2" s="0"/>
      <c r="AMI2" s="0"/>
      <c r="AMJ2" s="0"/>
    </row>
    <row r="3" s="13" customFormat="true" ht="14.9" hidden="false" customHeight="false" outlineLevel="0" collapsed="false">
      <c r="A3" s="7"/>
      <c r="B3" s="8" t="s">
        <v>20</v>
      </c>
      <c r="C3" s="9" t="n">
        <v>0.04</v>
      </c>
      <c r="D3" s="10" t="n">
        <v>94.4</v>
      </c>
      <c r="E3" s="10" t="n">
        <v>1.6</v>
      </c>
      <c r="F3" s="10" t="n">
        <v>4</v>
      </c>
      <c r="G3" s="10" t="n">
        <f aca="false">Table1457[[#This Row],[Clay]]+Table1457[[#This Row],[Silt]]</f>
        <v>5.6</v>
      </c>
      <c r="H3" s="9" t="n">
        <f aca="false">100-Table1457[[#This Row],[Clay2]]-Table1457[[#This Row],[Sand]]</f>
        <v>0</v>
      </c>
      <c r="I3" s="10" t="n">
        <v>19</v>
      </c>
      <c r="J3" s="10" t="n">
        <v>19</v>
      </c>
      <c r="K3" s="10" t="n">
        <v>0</v>
      </c>
      <c r="L3" s="9"/>
      <c r="M3" s="9" t="n">
        <v>12</v>
      </c>
      <c r="N3" s="11" t="n">
        <f aca="false">Table1457[[#This Row],[UCS_std_Soaked_7Days]]</f>
        <v>760</v>
      </c>
      <c r="O3" s="9" t="n">
        <v>760</v>
      </c>
      <c r="P3" s="8" t="n">
        <v>720</v>
      </c>
      <c r="Q3" s="8"/>
      <c r="R3" s="8"/>
      <c r="S3" s="12" t="s">
        <v>21</v>
      </c>
      <c r="AMH3" s="0"/>
      <c r="AMI3" s="0"/>
      <c r="AMJ3" s="0"/>
    </row>
    <row r="4" s="13" customFormat="true" ht="14.9" hidden="false" customHeight="false" outlineLevel="0" collapsed="false">
      <c r="A4" s="7"/>
      <c r="B4" s="8" t="s">
        <v>20</v>
      </c>
      <c r="C4" s="9" t="n">
        <v>0.04</v>
      </c>
      <c r="D4" s="10" t="n">
        <v>94.4</v>
      </c>
      <c r="E4" s="10" t="n">
        <v>1.6</v>
      </c>
      <c r="F4" s="10" t="n">
        <v>4</v>
      </c>
      <c r="G4" s="10" t="n">
        <f aca="false">Table1457[[#This Row],[Clay]]+Table1457[[#This Row],[Silt]]</f>
        <v>5.6</v>
      </c>
      <c r="H4" s="9" t="n">
        <f aca="false">100-Table1457[[#This Row],[Clay2]]-Table1457[[#This Row],[Sand]]</f>
        <v>0</v>
      </c>
      <c r="I4" s="10" t="n">
        <v>19</v>
      </c>
      <c r="J4" s="10" t="n">
        <v>19</v>
      </c>
      <c r="K4" s="10" t="n">
        <v>0</v>
      </c>
      <c r="L4" s="9"/>
      <c r="M4" s="9" t="n">
        <v>16</v>
      </c>
      <c r="N4" s="11" t="n">
        <f aca="false">Table1457[[#This Row],[UCS_std_Soaked_7Days]]</f>
        <v>1035</v>
      </c>
      <c r="O4" s="9" t="n">
        <v>1035</v>
      </c>
      <c r="P4" s="8" t="n">
        <v>1120</v>
      </c>
      <c r="Q4" s="8"/>
      <c r="R4" s="8"/>
      <c r="S4" s="12" t="s">
        <v>21</v>
      </c>
      <c r="AMH4" s="0"/>
      <c r="AMI4" s="0"/>
      <c r="AMJ4" s="0"/>
    </row>
    <row r="5" s="13" customFormat="true" ht="15" hidden="false" customHeight="true" outlineLevel="0" collapsed="false">
      <c r="A5" s="7" t="s">
        <v>22</v>
      </c>
      <c r="B5" s="8" t="s">
        <v>23</v>
      </c>
      <c r="C5" s="9" t="n">
        <v>0</v>
      </c>
      <c r="D5" s="10" t="n">
        <v>0</v>
      </c>
      <c r="E5" s="10" t="n">
        <v>18</v>
      </c>
      <c r="F5" s="10" t="n">
        <v>82</v>
      </c>
      <c r="G5" s="10" t="n">
        <f aca="false">Table1457[[#This Row],[Clay]]+Table1457[[#This Row],[Silt]]</f>
        <v>100</v>
      </c>
      <c r="H5" s="9" t="n">
        <f aca="false">100-Table1457[[#This Row],[Clay2]]-Table1457[[#This Row],[Sand]]</f>
        <v>0</v>
      </c>
      <c r="I5" s="10" t="n">
        <v>51</v>
      </c>
      <c r="J5" s="10" t="n">
        <v>29</v>
      </c>
      <c r="K5" s="10" t="n">
        <v>22</v>
      </c>
      <c r="L5" s="9"/>
      <c r="M5" s="9" t="n">
        <v>8</v>
      </c>
      <c r="N5" s="11" t="n">
        <f aca="false">Table1457[[#This Row],[UCS_std_Soaked_7Days]]</f>
        <v>260</v>
      </c>
      <c r="O5" s="9" t="n">
        <v>260</v>
      </c>
      <c r="P5" s="8" t="n">
        <v>385</v>
      </c>
      <c r="Q5" s="8"/>
      <c r="R5" s="8"/>
      <c r="S5" s="12" t="s">
        <v>21</v>
      </c>
      <c r="AMH5" s="0"/>
      <c r="AMI5" s="0"/>
      <c r="AMJ5" s="0"/>
    </row>
    <row r="6" s="13" customFormat="true" ht="14.9" hidden="false" customHeight="false" outlineLevel="0" collapsed="false">
      <c r="A6" s="7"/>
      <c r="B6" s="8" t="s">
        <v>23</v>
      </c>
      <c r="C6" s="9" t="n">
        <v>0</v>
      </c>
      <c r="D6" s="10" t="n">
        <v>0</v>
      </c>
      <c r="E6" s="10" t="n">
        <v>18</v>
      </c>
      <c r="F6" s="10" t="n">
        <v>82</v>
      </c>
      <c r="G6" s="10" t="n">
        <f aca="false">Table1457[[#This Row],[Clay]]+Table1457[[#This Row],[Silt]]</f>
        <v>100</v>
      </c>
      <c r="H6" s="9" t="n">
        <f aca="false">100-Table1457[[#This Row],[Clay2]]-Table1457[[#This Row],[Sand]]</f>
        <v>0</v>
      </c>
      <c r="I6" s="10" t="n">
        <v>51</v>
      </c>
      <c r="J6" s="10" t="n">
        <v>29</v>
      </c>
      <c r="K6" s="10" t="n">
        <v>22</v>
      </c>
      <c r="L6" s="9"/>
      <c r="M6" s="9" t="n">
        <v>12</v>
      </c>
      <c r="N6" s="11" t="n">
        <f aca="false">Table1457[[#This Row],[UCS_std_Soaked_7Days]]</f>
        <v>280</v>
      </c>
      <c r="O6" s="9" t="n">
        <v>280</v>
      </c>
      <c r="P6" s="8" t="n">
        <v>400</v>
      </c>
      <c r="Q6" s="8"/>
      <c r="R6" s="8"/>
      <c r="S6" s="12" t="s">
        <v>21</v>
      </c>
      <c r="AMH6" s="0"/>
      <c r="AMI6" s="0"/>
      <c r="AMJ6" s="0"/>
    </row>
    <row r="7" s="13" customFormat="true" ht="14.9" hidden="false" customHeight="false" outlineLevel="0" collapsed="false">
      <c r="A7" s="7"/>
      <c r="B7" s="8" t="s">
        <v>23</v>
      </c>
      <c r="C7" s="9" t="n">
        <v>0</v>
      </c>
      <c r="D7" s="10" t="n">
        <v>0</v>
      </c>
      <c r="E7" s="10" t="n">
        <v>18</v>
      </c>
      <c r="F7" s="10" t="n">
        <v>82</v>
      </c>
      <c r="G7" s="10" t="n">
        <f aca="false">Table1457[[#This Row],[Clay]]+Table1457[[#This Row],[Silt]]</f>
        <v>100</v>
      </c>
      <c r="H7" s="9" t="n">
        <f aca="false">100-Table1457[[#This Row],[Clay2]]-Table1457[[#This Row],[Sand]]</f>
        <v>0</v>
      </c>
      <c r="I7" s="10" t="n">
        <v>51</v>
      </c>
      <c r="J7" s="10" t="n">
        <v>29</v>
      </c>
      <c r="K7" s="10" t="n">
        <v>22</v>
      </c>
      <c r="L7" s="9"/>
      <c r="M7" s="9" t="n">
        <v>16</v>
      </c>
      <c r="N7" s="11" t="n">
        <f aca="false">Table1457[[#This Row],[UCS_std_Soaked_7Days]]</f>
        <v>360</v>
      </c>
      <c r="O7" s="9" t="n">
        <v>360</v>
      </c>
      <c r="P7" s="8" t="n">
        <v>480</v>
      </c>
      <c r="Q7" s="8"/>
      <c r="R7" s="8"/>
      <c r="S7" s="12" t="s">
        <v>21</v>
      </c>
      <c r="AMH7" s="0"/>
      <c r="AMI7" s="0"/>
      <c r="AMJ7" s="0"/>
    </row>
    <row r="8" s="13" customFormat="true" ht="15" hidden="false" customHeight="true" outlineLevel="0" collapsed="false">
      <c r="A8" s="7" t="s">
        <v>24</v>
      </c>
      <c r="B8" s="8" t="s">
        <v>23</v>
      </c>
      <c r="C8" s="9" t="n">
        <v>1.5</v>
      </c>
      <c r="D8" s="10" t="n">
        <v>6.4</v>
      </c>
      <c r="E8" s="10" t="n">
        <v>18.6</v>
      </c>
      <c r="F8" s="10" t="n">
        <v>75</v>
      </c>
      <c r="G8" s="10" t="n">
        <f aca="false">Table1457[[#This Row],[Clay]]+Table1457[[#This Row],[Silt]]</f>
        <v>93.6</v>
      </c>
      <c r="H8" s="9" t="n">
        <f aca="false">100-Table1457[[#This Row],[Clay2]]-Table1457[[#This Row],[Sand]]</f>
        <v>0</v>
      </c>
      <c r="I8" s="10" t="n">
        <v>54.8</v>
      </c>
      <c r="J8" s="10" t="n">
        <v>27.1</v>
      </c>
      <c r="K8" s="10" t="n">
        <v>27.7</v>
      </c>
      <c r="L8" s="9"/>
      <c r="M8" s="9" t="n">
        <v>8</v>
      </c>
      <c r="N8" s="11" t="n">
        <f aca="false">Table1457[[#This Row],[UCS_std_Soaked_7Days]]</f>
        <v>160</v>
      </c>
      <c r="O8" s="9" t="n">
        <v>160</v>
      </c>
      <c r="P8" s="8" t="n">
        <v>300</v>
      </c>
      <c r="Q8" s="8"/>
      <c r="R8" s="8"/>
      <c r="S8" s="12" t="s">
        <v>21</v>
      </c>
      <c r="AMH8" s="0"/>
      <c r="AMI8" s="0"/>
      <c r="AMJ8" s="0"/>
    </row>
    <row r="9" s="13" customFormat="true" ht="14.9" hidden="false" customHeight="false" outlineLevel="0" collapsed="false">
      <c r="A9" s="7"/>
      <c r="B9" s="8" t="s">
        <v>23</v>
      </c>
      <c r="C9" s="9" t="n">
        <v>1.5</v>
      </c>
      <c r="D9" s="10" t="n">
        <v>6.4</v>
      </c>
      <c r="E9" s="10" t="n">
        <v>18.6</v>
      </c>
      <c r="F9" s="10" t="n">
        <v>75</v>
      </c>
      <c r="G9" s="10" t="n">
        <f aca="false">Table1457[[#This Row],[Clay]]+Table1457[[#This Row],[Silt]]</f>
        <v>93.6</v>
      </c>
      <c r="H9" s="9" t="n">
        <f aca="false">100-Table1457[[#This Row],[Clay2]]-Table1457[[#This Row],[Sand]]</f>
        <v>0</v>
      </c>
      <c r="I9" s="10" t="n">
        <v>54.8</v>
      </c>
      <c r="J9" s="10" t="n">
        <v>27.1</v>
      </c>
      <c r="K9" s="10" t="n">
        <v>27.7</v>
      </c>
      <c r="L9" s="9"/>
      <c r="M9" s="9" t="n">
        <v>12</v>
      </c>
      <c r="N9" s="11" t="n">
        <f aca="false">Table1457[[#This Row],[UCS_std_Soaked_7Days]]</f>
        <v>355</v>
      </c>
      <c r="O9" s="9" t="n">
        <v>355</v>
      </c>
      <c r="P9" s="8" t="n">
        <v>475</v>
      </c>
      <c r="Q9" s="8"/>
      <c r="R9" s="8"/>
      <c r="S9" s="12" t="s">
        <v>21</v>
      </c>
      <c r="AMH9" s="0"/>
      <c r="AMI9" s="0"/>
      <c r="AMJ9" s="0"/>
    </row>
    <row r="10" s="13" customFormat="true" ht="14.9" hidden="false" customHeight="false" outlineLevel="0" collapsed="false">
      <c r="A10" s="7"/>
      <c r="B10" s="8" t="s">
        <v>23</v>
      </c>
      <c r="C10" s="9" t="n">
        <v>1.5</v>
      </c>
      <c r="D10" s="10" t="n">
        <v>6.4</v>
      </c>
      <c r="E10" s="10" t="n">
        <v>18.6</v>
      </c>
      <c r="F10" s="10" t="n">
        <v>75</v>
      </c>
      <c r="G10" s="10" t="n">
        <f aca="false">Table1457[[#This Row],[Clay]]+Table1457[[#This Row],[Silt]]</f>
        <v>93.6</v>
      </c>
      <c r="H10" s="9" t="n">
        <f aca="false">100-Table1457[[#This Row],[Clay2]]-Table1457[[#This Row],[Sand]]</f>
        <v>0</v>
      </c>
      <c r="I10" s="10" t="n">
        <v>54.8</v>
      </c>
      <c r="J10" s="10" t="n">
        <v>27.1</v>
      </c>
      <c r="K10" s="10" t="n">
        <v>27.7</v>
      </c>
      <c r="L10" s="9"/>
      <c r="M10" s="9" t="n">
        <v>16</v>
      </c>
      <c r="N10" s="11" t="n">
        <f aca="false">Table1457[[#This Row],[UCS_std_Soaked_7Days]]</f>
        <v>510</v>
      </c>
      <c r="O10" s="9" t="n">
        <v>510</v>
      </c>
      <c r="P10" s="8" t="n">
        <v>600</v>
      </c>
      <c r="Q10" s="8"/>
      <c r="R10" s="8"/>
      <c r="S10" s="12" t="s">
        <v>21</v>
      </c>
      <c r="AMH10" s="0"/>
      <c r="AMI10" s="0"/>
      <c r="AMJ10" s="0"/>
    </row>
    <row r="11" s="13" customFormat="true" ht="15" hidden="false" customHeight="true" outlineLevel="0" collapsed="false">
      <c r="A11" s="7" t="s">
        <v>25</v>
      </c>
      <c r="B11" s="8" t="s">
        <v>23</v>
      </c>
      <c r="C11" s="9" t="n">
        <v>0.2</v>
      </c>
      <c r="D11" s="10" t="n">
        <v>17.5</v>
      </c>
      <c r="E11" s="10" t="n">
        <v>8.5</v>
      </c>
      <c r="F11" s="10" t="n">
        <v>74</v>
      </c>
      <c r="G11" s="10" t="n">
        <f aca="false">Table1457[[#This Row],[Clay]]+Table1457[[#This Row],[Silt]]</f>
        <v>82.5</v>
      </c>
      <c r="H11" s="9" t="n">
        <f aca="false">100-Table1457[[#This Row],[Clay2]]-Table1457[[#This Row],[Sand]]</f>
        <v>0</v>
      </c>
      <c r="I11" s="10" t="n">
        <v>87.1</v>
      </c>
      <c r="J11" s="10" t="n">
        <v>34.5</v>
      </c>
      <c r="K11" s="10" t="n">
        <v>52.6</v>
      </c>
      <c r="L11" s="9"/>
      <c r="M11" s="9" t="n">
        <v>8</v>
      </c>
      <c r="N11" s="11" t="n">
        <f aca="false">Table1457[[#This Row],[UCS_std_Soaked_7Days]]</f>
        <v>280</v>
      </c>
      <c r="O11" s="9" t="n">
        <v>280</v>
      </c>
      <c r="P11" s="8" t="n">
        <v>380</v>
      </c>
      <c r="Q11" s="8"/>
      <c r="R11" s="8"/>
      <c r="S11" s="12" t="s">
        <v>21</v>
      </c>
      <c r="AMH11" s="0"/>
      <c r="AMI11" s="0"/>
      <c r="AMJ11" s="0"/>
    </row>
    <row r="12" s="13" customFormat="true" ht="14.9" hidden="false" customHeight="false" outlineLevel="0" collapsed="false">
      <c r="A12" s="7"/>
      <c r="B12" s="8" t="s">
        <v>23</v>
      </c>
      <c r="C12" s="9" t="n">
        <v>0.2</v>
      </c>
      <c r="D12" s="10" t="n">
        <v>17.5</v>
      </c>
      <c r="E12" s="10" t="n">
        <v>8.5</v>
      </c>
      <c r="F12" s="10" t="n">
        <v>74</v>
      </c>
      <c r="G12" s="10" t="n">
        <f aca="false">Table1457[[#This Row],[Clay]]+Table1457[[#This Row],[Silt]]</f>
        <v>82.5</v>
      </c>
      <c r="H12" s="9" t="n">
        <f aca="false">100-Table1457[[#This Row],[Clay2]]-Table1457[[#This Row],[Sand]]</f>
        <v>0</v>
      </c>
      <c r="I12" s="10" t="n">
        <v>87.1</v>
      </c>
      <c r="J12" s="10" t="n">
        <v>34.5</v>
      </c>
      <c r="K12" s="10" t="n">
        <v>52.6</v>
      </c>
      <c r="L12" s="9"/>
      <c r="M12" s="9" t="n">
        <v>12</v>
      </c>
      <c r="N12" s="11" t="n">
        <f aca="false">Table1457[[#This Row],[UCS_std_Soaked_7Days]]</f>
        <v>485</v>
      </c>
      <c r="O12" s="9" t="n">
        <v>485</v>
      </c>
      <c r="P12" s="8" t="n">
        <v>560</v>
      </c>
      <c r="Q12" s="8"/>
      <c r="R12" s="8"/>
      <c r="S12" s="12" t="s">
        <v>21</v>
      </c>
      <c r="AMH12" s="0"/>
      <c r="AMI12" s="0"/>
      <c r="AMJ12" s="0"/>
    </row>
    <row r="13" s="13" customFormat="true" ht="14.9" hidden="false" customHeight="false" outlineLevel="0" collapsed="false">
      <c r="A13" s="7"/>
      <c r="B13" s="8" t="s">
        <v>23</v>
      </c>
      <c r="C13" s="9" t="n">
        <v>0.2</v>
      </c>
      <c r="D13" s="10" t="n">
        <v>17.5</v>
      </c>
      <c r="E13" s="10" t="n">
        <v>8.5</v>
      </c>
      <c r="F13" s="10" t="n">
        <v>74</v>
      </c>
      <c r="G13" s="10" t="n">
        <f aca="false">Table1457[[#This Row],[Clay]]+Table1457[[#This Row],[Silt]]</f>
        <v>82.5</v>
      </c>
      <c r="H13" s="9" t="n">
        <f aca="false">100-Table1457[[#This Row],[Clay2]]-Table1457[[#This Row],[Sand]]</f>
        <v>0</v>
      </c>
      <c r="I13" s="10" t="n">
        <v>87.1</v>
      </c>
      <c r="J13" s="10" t="n">
        <v>34.5</v>
      </c>
      <c r="K13" s="10" t="n">
        <v>52.6</v>
      </c>
      <c r="L13" s="9"/>
      <c r="M13" s="9" t="n">
        <v>16</v>
      </c>
      <c r="N13" s="11" t="n">
        <f aca="false">Table1457[[#This Row],[UCS_std_Soaked_7Days]]</f>
        <v>610</v>
      </c>
      <c r="O13" s="9" t="n">
        <v>610</v>
      </c>
      <c r="P13" s="8" t="n">
        <v>715</v>
      </c>
      <c r="Q13" s="8"/>
      <c r="R13" s="8"/>
      <c r="S13" s="12" t="s">
        <v>21</v>
      </c>
      <c r="AMH13" s="0"/>
      <c r="AMI13" s="0"/>
      <c r="AMJ13" s="0"/>
    </row>
    <row r="14" s="20" customFormat="true" ht="15" hidden="false" customHeight="true" outlineLevel="0" collapsed="false">
      <c r="A14" s="14" t="s">
        <v>26</v>
      </c>
      <c r="B14" s="15" t="s">
        <v>23</v>
      </c>
      <c r="C14" s="15" t="n">
        <v>1.33</v>
      </c>
      <c r="D14" s="16" t="n">
        <v>2.4</v>
      </c>
      <c r="E14" s="16" t="n">
        <v>28.8</v>
      </c>
      <c r="F14" s="16" t="n">
        <v>68.8</v>
      </c>
      <c r="G14" s="16" t="n">
        <f aca="false">Table1457[[#This Row],[Clay]]+Table1457[[#This Row],[Silt]]</f>
        <v>97.6</v>
      </c>
      <c r="H14" s="16" t="n">
        <f aca="false">100-Table1457[[#This Row],[Clay2]]-Table1457[[#This Row],[Sand]]</f>
        <v>0</v>
      </c>
      <c r="I14" s="16" t="n">
        <v>72</v>
      </c>
      <c r="J14" s="16" t="n">
        <v>26</v>
      </c>
      <c r="K14" s="16" t="n">
        <f aca="false">Table1457[[#This Row],[LL]]-Table1457[[#This Row],[PL]]</f>
        <v>46</v>
      </c>
      <c r="L14" s="16" t="n">
        <v>0</v>
      </c>
      <c r="M14" s="16"/>
      <c r="N14" s="17" t="n">
        <f aca="false">Table1457[[#This Row],[UCS_std_Soaked_7Days]]</f>
        <v>0</v>
      </c>
      <c r="O14" s="16" t="n">
        <v>0</v>
      </c>
      <c r="P14" s="18" t="n">
        <v>40</v>
      </c>
      <c r="Q14" s="18" t="n">
        <v>0</v>
      </c>
      <c r="R14" s="18" t="n">
        <v>40</v>
      </c>
      <c r="S14" s="19" t="s">
        <v>27</v>
      </c>
      <c r="AMH14" s="0"/>
      <c r="AMI14" s="0"/>
      <c r="AMJ14" s="0"/>
    </row>
    <row r="15" s="20" customFormat="true" ht="14.9" hidden="false" customHeight="false" outlineLevel="0" collapsed="false">
      <c r="A15" s="14"/>
      <c r="B15" s="15" t="s">
        <v>23</v>
      </c>
      <c r="C15" s="15" t="n">
        <v>1.33</v>
      </c>
      <c r="D15" s="16" t="n">
        <v>2.4</v>
      </c>
      <c r="E15" s="16" t="n">
        <v>28.8</v>
      </c>
      <c r="F15" s="16" t="n">
        <v>68.8</v>
      </c>
      <c r="G15" s="16" t="n">
        <f aca="false">Table1457[[#This Row],[Clay]]+Table1457[[#This Row],[Silt]]</f>
        <v>97.6</v>
      </c>
      <c r="H15" s="16" t="n">
        <f aca="false">100-Table1457[[#This Row],[Clay2]]-Table1457[[#This Row],[Sand]]</f>
        <v>0</v>
      </c>
      <c r="I15" s="16" t="n">
        <v>72</v>
      </c>
      <c r="J15" s="16" t="n">
        <v>26</v>
      </c>
      <c r="K15" s="16" t="n">
        <f aca="false">Table1457[[#This Row],[LL]]-Table1457[[#This Row],[PL]]</f>
        <v>46</v>
      </c>
      <c r="L15" s="15" t="n">
        <v>2</v>
      </c>
      <c r="M15" s="16"/>
      <c r="N15" s="17" t="n">
        <f aca="false">Table1457[[#This Row],[UCS_std_Soaked_7Days]]</f>
        <v>25.3</v>
      </c>
      <c r="O15" s="15" t="n">
        <v>25.3</v>
      </c>
      <c r="P15" s="14" t="n">
        <v>56.55</v>
      </c>
      <c r="Q15" s="14" t="n">
        <v>28.27</v>
      </c>
      <c r="R15" s="14" t="n">
        <v>58.04</v>
      </c>
      <c r="S15" s="19" t="s">
        <v>27</v>
      </c>
      <c r="AMH15" s="0"/>
      <c r="AMI15" s="0"/>
      <c r="AMJ15" s="0"/>
    </row>
    <row r="16" s="20" customFormat="true" ht="14.9" hidden="false" customHeight="false" outlineLevel="0" collapsed="false">
      <c r="A16" s="14"/>
      <c r="B16" s="15" t="s">
        <v>23</v>
      </c>
      <c r="C16" s="15" t="n">
        <v>1.33</v>
      </c>
      <c r="D16" s="16" t="n">
        <v>2.4</v>
      </c>
      <c r="E16" s="16" t="n">
        <v>28.8</v>
      </c>
      <c r="F16" s="16" t="n">
        <v>68.8</v>
      </c>
      <c r="G16" s="16" t="n">
        <f aca="false">Table1457[[#This Row],[Clay]]+Table1457[[#This Row],[Silt]]</f>
        <v>97.6</v>
      </c>
      <c r="H16" s="16" t="n">
        <f aca="false">100-Table1457[[#This Row],[Clay2]]-Table1457[[#This Row],[Sand]]</f>
        <v>0</v>
      </c>
      <c r="I16" s="16" t="n">
        <v>72</v>
      </c>
      <c r="J16" s="16" t="n">
        <v>26</v>
      </c>
      <c r="K16" s="16" t="n">
        <f aca="false">Table1457[[#This Row],[LL]]-Table1457[[#This Row],[PL]]</f>
        <v>46</v>
      </c>
      <c r="L16" s="15" t="n">
        <v>4</v>
      </c>
      <c r="M16" s="16"/>
      <c r="N16" s="17" t="n">
        <f aca="false">Table1457[[#This Row],[UCS_std_Soaked_7Days]]</f>
        <v>107.16</v>
      </c>
      <c r="O16" s="15" t="n">
        <v>107.16</v>
      </c>
      <c r="P16" s="14" t="n">
        <v>122.04</v>
      </c>
      <c r="Q16" s="14" t="n">
        <v>123.53</v>
      </c>
      <c r="R16" s="14" t="n">
        <v>157.76</v>
      </c>
      <c r="S16" s="19" t="s">
        <v>27</v>
      </c>
      <c r="AMH16" s="0"/>
      <c r="AMI16" s="0"/>
      <c r="AMJ16" s="0"/>
    </row>
    <row r="17" s="20" customFormat="true" ht="13.8" hidden="false" customHeight="false" outlineLevel="0" collapsed="false">
      <c r="A17" s="14"/>
      <c r="B17" s="15" t="s">
        <v>23</v>
      </c>
      <c r="C17" s="15" t="n">
        <v>1.33</v>
      </c>
      <c r="D17" s="16" t="n">
        <v>2.4</v>
      </c>
      <c r="E17" s="16" t="n">
        <v>28.8</v>
      </c>
      <c r="F17" s="16" t="n">
        <v>68.8</v>
      </c>
      <c r="G17" s="16" t="n">
        <f aca="false">Table1457[[#This Row],[Clay]]+Table1457[[#This Row],[Silt]]</f>
        <v>97.6</v>
      </c>
      <c r="H17" s="16" t="n">
        <f aca="false">100-Table1457[[#This Row],[Clay2]]-Table1457[[#This Row],[Sand]]</f>
        <v>0</v>
      </c>
      <c r="I17" s="16" t="n">
        <v>72</v>
      </c>
      <c r="J17" s="16" t="n">
        <v>26</v>
      </c>
      <c r="K17" s="16" t="n">
        <f aca="false">Table1457[[#This Row],[LL]]-Table1457[[#This Row],[PL]]</f>
        <v>46</v>
      </c>
      <c r="L17" s="15" t="n">
        <v>8</v>
      </c>
      <c r="M17" s="15"/>
      <c r="N17" s="17" t="n">
        <f aca="false">Table1457[[#This Row],[UCS_std_Soaked_7Days]]</f>
        <v>169.67</v>
      </c>
      <c r="O17" s="15" t="n">
        <v>169.67</v>
      </c>
      <c r="P17" s="14" t="n">
        <v>171.162</v>
      </c>
      <c r="Q17" s="14" t="n">
        <v>303.627</v>
      </c>
      <c r="R17" s="14" t="n">
        <v>308.09</v>
      </c>
      <c r="S17" s="19" t="s">
        <v>27</v>
      </c>
      <c r="AMH17" s="0"/>
      <c r="AMI17" s="0"/>
      <c r="AMJ17" s="0"/>
    </row>
    <row r="18" s="20" customFormat="true" ht="13.8" hidden="false" customHeight="false" outlineLevel="0" collapsed="false">
      <c r="A18" s="14"/>
      <c r="B18" s="15" t="s">
        <v>23</v>
      </c>
      <c r="C18" s="15" t="n">
        <v>1.33</v>
      </c>
      <c r="D18" s="16" t="n">
        <v>2.4</v>
      </c>
      <c r="E18" s="16" t="n">
        <v>28.8</v>
      </c>
      <c r="F18" s="16" t="n">
        <v>68.8</v>
      </c>
      <c r="G18" s="16" t="n">
        <f aca="false">Table1457[[#This Row],[Clay]]+Table1457[[#This Row],[Silt]]</f>
        <v>97.6</v>
      </c>
      <c r="H18" s="16" t="n">
        <f aca="false">100-Table1457[[#This Row],[Clay2]]-Table1457[[#This Row],[Sand]]</f>
        <v>0</v>
      </c>
      <c r="I18" s="16" t="n">
        <v>72</v>
      </c>
      <c r="J18" s="16" t="n">
        <v>26</v>
      </c>
      <c r="K18" s="16" t="n">
        <f aca="false">Table1457[[#This Row],[LL]]-Table1457[[#This Row],[PL]]</f>
        <v>46</v>
      </c>
      <c r="L18" s="15" t="n">
        <v>12</v>
      </c>
      <c r="M18" s="15"/>
      <c r="N18" s="17" t="n">
        <f aca="false">Table1457[[#This Row],[UCS_std_Soaked_7Days]]</f>
        <v>174.139</v>
      </c>
      <c r="O18" s="15" t="n">
        <v>174.139</v>
      </c>
      <c r="P18" s="14" t="n">
        <v>181.58</v>
      </c>
      <c r="Q18" s="14" t="n">
        <v>320</v>
      </c>
      <c r="R18" s="14" t="n">
        <v>320</v>
      </c>
      <c r="S18" s="19" t="s">
        <v>27</v>
      </c>
      <c r="AMH18" s="0"/>
      <c r="AMI18" s="0"/>
      <c r="AMJ18" s="0"/>
    </row>
    <row r="19" s="20" customFormat="true" ht="14.9" hidden="false" customHeight="false" outlineLevel="0" collapsed="false">
      <c r="A19" s="14" t="s">
        <v>28</v>
      </c>
      <c r="B19" s="15" t="s">
        <v>29</v>
      </c>
      <c r="C19" s="15" t="n">
        <v>2.44</v>
      </c>
      <c r="D19" s="16" t="n">
        <v>1.7</v>
      </c>
      <c r="E19" s="16" t="n">
        <v>56.5</v>
      </c>
      <c r="F19" s="16" t="n">
        <v>41.8</v>
      </c>
      <c r="G19" s="16" t="n">
        <f aca="false">Table1457[[#This Row],[Clay]]+Table1457[[#This Row],[Silt]]</f>
        <v>98.3</v>
      </c>
      <c r="H19" s="16" t="n">
        <f aca="false">100-Table1457[[#This Row],[Clay2]]-Table1457[[#This Row],[Sand]]</f>
        <v>0</v>
      </c>
      <c r="I19" s="16" t="n">
        <v>47.5</v>
      </c>
      <c r="J19" s="16" t="n">
        <v>27.5</v>
      </c>
      <c r="K19" s="16" t="n">
        <f aca="false">Table1457[[#This Row],[LL]]-Table1457[[#This Row],[PL]]</f>
        <v>20</v>
      </c>
      <c r="L19" s="15" t="n">
        <v>0</v>
      </c>
      <c r="M19" s="15"/>
      <c r="N19" s="17" t="n">
        <f aca="false">Table1457[[#This Row],[UCS_std_Soaked_7Days]]</f>
        <v>0</v>
      </c>
      <c r="O19" s="15" t="n">
        <v>0</v>
      </c>
      <c r="P19" s="14" t="n">
        <v>90</v>
      </c>
      <c r="Q19" s="14" t="n">
        <v>0</v>
      </c>
      <c r="R19" s="14" t="n">
        <v>90</v>
      </c>
      <c r="S19" s="19" t="s">
        <v>27</v>
      </c>
      <c r="AMH19" s="0"/>
      <c r="AMI19" s="0"/>
      <c r="AMJ19" s="0"/>
    </row>
    <row r="20" s="20" customFormat="true" ht="14.9" hidden="false" customHeight="false" outlineLevel="0" collapsed="false">
      <c r="A20" s="14"/>
      <c r="B20" s="15" t="s">
        <v>29</v>
      </c>
      <c r="C20" s="15" t="n">
        <v>2.44</v>
      </c>
      <c r="D20" s="16" t="n">
        <v>1.7</v>
      </c>
      <c r="E20" s="16" t="n">
        <v>56.5</v>
      </c>
      <c r="F20" s="16" t="n">
        <v>41.8</v>
      </c>
      <c r="G20" s="16" t="n">
        <f aca="false">Table1457[[#This Row],[Clay]]+Table1457[[#This Row],[Silt]]</f>
        <v>98.3</v>
      </c>
      <c r="H20" s="16" t="n">
        <f aca="false">100-Table1457[[#This Row],[Clay2]]-Table1457[[#This Row],[Sand]]</f>
        <v>0</v>
      </c>
      <c r="I20" s="16" t="n">
        <v>47.5</v>
      </c>
      <c r="J20" s="16" t="n">
        <v>27.5</v>
      </c>
      <c r="K20" s="16" t="n">
        <f aca="false">Table1457[[#This Row],[LL]]-Table1457[[#This Row],[PL]]</f>
        <v>20</v>
      </c>
      <c r="L20" s="15" t="n">
        <v>2</v>
      </c>
      <c r="M20" s="15"/>
      <c r="N20" s="17" t="n">
        <f aca="false">Table1457[[#This Row],[UCS_std_Soaked_7Days]]</f>
        <v>22.78</v>
      </c>
      <c r="O20" s="15" t="n">
        <v>22.78</v>
      </c>
      <c r="P20" s="14" t="n">
        <v>78.87</v>
      </c>
      <c r="Q20" s="14" t="n">
        <v>23.82</v>
      </c>
      <c r="R20" s="14" t="n">
        <v>92.38</v>
      </c>
      <c r="S20" s="19" t="s">
        <v>27</v>
      </c>
      <c r="AMH20" s="0"/>
      <c r="AMI20" s="0"/>
      <c r="AMJ20" s="0"/>
    </row>
    <row r="21" s="20" customFormat="true" ht="13.8" hidden="false" customHeight="false" outlineLevel="0" collapsed="false">
      <c r="A21" s="14"/>
      <c r="B21" s="15" t="s">
        <v>29</v>
      </c>
      <c r="C21" s="15" t="n">
        <v>2.44</v>
      </c>
      <c r="D21" s="16" t="n">
        <v>1.7</v>
      </c>
      <c r="E21" s="16" t="n">
        <v>56.5</v>
      </c>
      <c r="F21" s="16" t="n">
        <v>41.8</v>
      </c>
      <c r="G21" s="16" t="n">
        <f aca="false">Table1457[[#This Row],[Clay]]+Table1457[[#This Row],[Silt]]</f>
        <v>98.3</v>
      </c>
      <c r="H21" s="16" t="n">
        <f aca="false">100-Table1457[[#This Row],[Clay2]]-Table1457[[#This Row],[Sand]]</f>
        <v>0</v>
      </c>
      <c r="I21" s="16" t="n">
        <v>47.5</v>
      </c>
      <c r="J21" s="16" t="n">
        <v>27.5</v>
      </c>
      <c r="K21" s="16" t="n">
        <f aca="false">Table1457[[#This Row],[LL]]-Table1457[[#This Row],[PL]]</f>
        <v>20</v>
      </c>
      <c r="L21" s="15" t="n">
        <v>4</v>
      </c>
      <c r="M21" s="15"/>
      <c r="N21" s="17" t="n">
        <f aca="false">Table1457[[#This Row],[UCS_std_Soaked_7Days]]</f>
        <v>36.54</v>
      </c>
      <c r="O21" s="15" t="n">
        <v>36.54</v>
      </c>
      <c r="P21" s="14" t="n">
        <v>86.41</v>
      </c>
      <c r="Q21" s="14" t="n">
        <v>50.05</v>
      </c>
      <c r="R21" s="14" t="n">
        <v>93.67</v>
      </c>
      <c r="S21" s="19" t="s">
        <v>27</v>
      </c>
      <c r="AMH21" s="0"/>
      <c r="AMI21" s="0"/>
      <c r="AMJ21" s="0"/>
    </row>
    <row r="22" s="20" customFormat="true" ht="13.8" hidden="false" customHeight="false" outlineLevel="0" collapsed="false">
      <c r="A22" s="14"/>
      <c r="B22" s="15" t="s">
        <v>29</v>
      </c>
      <c r="C22" s="15" t="n">
        <v>2.44</v>
      </c>
      <c r="D22" s="16" t="n">
        <v>1.7</v>
      </c>
      <c r="E22" s="16" t="n">
        <v>56.5</v>
      </c>
      <c r="F22" s="16" t="n">
        <v>41.8</v>
      </c>
      <c r="G22" s="16" t="n">
        <f aca="false">Table1457[[#This Row],[Clay]]+Table1457[[#This Row],[Silt]]</f>
        <v>98.3</v>
      </c>
      <c r="H22" s="16" t="n">
        <f aca="false">100-Table1457[[#This Row],[Clay2]]-Table1457[[#This Row],[Sand]]</f>
        <v>0</v>
      </c>
      <c r="I22" s="16" t="n">
        <v>47.5</v>
      </c>
      <c r="J22" s="16" t="n">
        <v>27.5</v>
      </c>
      <c r="K22" s="16" t="n">
        <f aca="false">Table1457[[#This Row],[LL]]-Table1457[[#This Row],[PL]]</f>
        <v>20</v>
      </c>
      <c r="L22" s="15" t="n">
        <v>8</v>
      </c>
      <c r="M22" s="15"/>
      <c r="N22" s="17" t="n">
        <f aca="false">Table1457[[#This Row],[UCS_std_Soaked_7Days]]</f>
        <v>49.51</v>
      </c>
      <c r="O22" s="15" t="n">
        <v>49.51</v>
      </c>
      <c r="P22" s="14" t="n">
        <v>102.466</v>
      </c>
      <c r="Q22" s="14" t="n">
        <v>70.28</v>
      </c>
      <c r="R22" s="14" t="n">
        <v>125.31</v>
      </c>
      <c r="S22" s="19" t="s">
        <v>27</v>
      </c>
      <c r="AMH22" s="0"/>
      <c r="AMI22" s="0"/>
      <c r="AMJ22" s="0"/>
    </row>
    <row r="23" s="20" customFormat="true" ht="14.9" hidden="false" customHeight="false" outlineLevel="0" collapsed="false">
      <c r="A23" s="14"/>
      <c r="B23" s="15" t="s">
        <v>29</v>
      </c>
      <c r="C23" s="15" t="n">
        <v>2.44</v>
      </c>
      <c r="D23" s="16" t="n">
        <v>1.7</v>
      </c>
      <c r="E23" s="16" t="n">
        <v>56.5</v>
      </c>
      <c r="F23" s="16" t="n">
        <v>41.8</v>
      </c>
      <c r="G23" s="16" t="n">
        <f aca="false">Table1457[[#This Row],[Clay]]+Table1457[[#This Row],[Silt]]</f>
        <v>98.3</v>
      </c>
      <c r="H23" s="16" t="n">
        <f aca="false">100-Table1457[[#This Row],[Clay2]]-Table1457[[#This Row],[Sand]]</f>
        <v>0</v>
      </c>
      <c r="I23" s="16" t="n">
        <v>47.5</v>
      </c>
      <c r="J23" s="16" t="n">
        <v>27.5</v>
      </c>
      <c r="K23" s="16" t="n">
        <f aca="false">Table1457[[#This Row],[LL]]-Table1457[[#This Row],[PL]]</f>
        <v>20</v>
      </c>
      <c r="L23" s="15" t="n">
        <v>12</v>
      </c>
      <c r="M23" s="15"/>
      <c r="N23" s="17" t="n">
        <f aca="false">Table1457[[#This Row],[UCS_std_Soaked_7Days]]</f>
        <v>63.5</v>
      </c>
      <c r="O23" s="15" t="n">
        <v>63.5</v>
      </c>
      <c r="P23" s="14" t="n">
        <v>105.043</v>
      </c>
      <c r="Q23" s="14" t="n">
        <v>84.42</v>
      </c>
      <c r="R23" s="14" t="n">
        <v>144.49</v>
      </c>
      <c r="S23" s="19" t="s">
        <v>27</v>
      </c>
      <c r="AMH23" s="0"/>
      <c r="AMI23" s="0"/>
      <c r="AMJ23" s="0"/>
    </row>
    <row r="24" s="20" customFormat="true" ht="14.9" hidden="false" customHeight="false" outlineLevel="0" collapsed="false">
      <c r="A24" s="14" t="s">
        <v>30</v>
      </c>
      <c r="B24" s="15" t="s">
        <v>29</v>
      </c>
      <c r="C24" s="15" t="n">
        <v>4.61</v>
      </c>
      <c r="D24" s="16" t="n">
        <v>1.8</v>
      </c>
      <c r="E24" s="16" t="n">
        <v>61.4</v>
      </c>
      <c r="F24" s="16" t="n">
        <v>36.8</v>
      </c>
      <c r="G24" s="16" t="n">
        <f aca="false">Table1457[[#This Row],[Clay]]+Table1457[[#This Row],[Silt]]</f>
        <v>98.2</v>
      </c>
      <c r="H24" s="16" t="n">
        <f aca="false">100-Table1457[[#This Row],[Clay2]]-Table1457[[#This Row],[Sand]]</f>
        <v>1.13242748511766E-014</v>
      </c>
      <c r="I24" s="16" t="n">
        <v>50</v>
      </c>
      <c r="J24" s="16" t="n">
        <v>31</v>
      </c>
      <c r="K24" s="16" t="n">
        <f aca="false">Table1457[[#This Row],[LL]]-Table1457[[#This Row],[PL]]</f>
        <v>19</v>
      </c>
      <c r="L24" s="15" t="n">
        <v>0</v>
      </c>
      <c r="M24" s="15"/>
      <c r="N24" s="17" t="n">
        <f aca="false">Table1457[[#This Row],[UCS_std_Soaked_7Days]]</f>
        <v>0</v>
      </c>
      <c r="O24" s="15" t="n">
        <v>0</v>
      </c>
      <c r="P24" s="14" t="n">
        <v>70</v>
      </c>
      <c r="Q24" s="14" t="n">
        <v>0</v>
      </c>
      <c r="R24" s="14" t="n">
        <v>70</v>
      </c>
      <c r="S24" s="19" t="s">
        <v>27</v>
      </c>
      <c r="AMH24" s="0"/>
      <c r="AMI24" s="0"/>
      <c r="AMJ24" s="0"/>
    </row>
    <row r="25" s="20" customFormat="true" ht="14.9" hidden="false" customHeight="false" outlineLevel="0" collapsed="false">
      <c r="A25" s="14"/>
      <c r="B25" s="15" t="s">
        <v>29</v>
      </c>
      <c r="C25" s="15" t="n">
        <v>4.61</v>
      </c>
      <c r="D25" s="16" t="n">
        <v>1.8</v>
      </c>
      <c r="E25" s="16" t="n">
        <v>61.4</v>
      </c>
      <c r="F25" s="16" t="n">
        <v>36.8</v>
      </c>
      <c r="G25" s="16" t="n">
        <f aca="false">Table1457[[#This Row],[Clay]]+Table1457[[#This Row],[Silt]]</f>
        <v>98.2</v>
      </c>
      <c r="H25" s="16" t="n">
        <f aca="false">100-Table1457[[#This Row],[Clay2]]-Table1457[[#This Row],[Sand]]</f>
        <v>1.13242748511766E-014</v>
      </c>
      <c r="I25" s="16" t="n">
        <v>50</v>
      </c>
      <c r="J25" s="16" t="n">
        <v>31</v>
      </c>
      <c r="K25" s="16" t="n">
        <f aca="false">Table1457[[#This Row],[LL]]-Table1457[[#This Row],[PL]]</f>
        <v>19</v>
      </c>
      <c r="L25" s="15" t="n">
        <v>2</v>
      </c>
      <c r="M25" s="15"/>
      <c r="N25" s="17" t="n">
        <f aca="false">Table1457[[#This Row],[UCS_std_Soaked_7Days]]</f>
        <v>25.79</v>
      </c>
      <c r="O25" s="15" t="n">
        <v>25.79</v>
      </c>
      <c r="P25" s="14" t="n">
        <v>55.93</v>
      </c>
      <c r="Q25" s="14" t="n">
        <v>24.75</v>
      </c>
      <c r="R25" s="14" t="n">
        <v>72.55</v>
      </c>
      <c r="S25" s="19" t="s">
        <v>27</v>
      </c>
      <c r="AMH25" s="0"/>
      <c r="AMI25" s="0"/>
      <c r="AMJ25" s="0"/>
    </row>
    <row r="26" s="20" customFormat="true" ht="14.9" hidden="false" customHeight="false" outlineLevel="0" collapsed="false">
      <c r="A26" s="14"/>
      <c r="B26" s="15" t="s">
        <v>29</v>
      </c>
      <c r="C26" s="15" t="n">
        <v>4.61</v>
      </c>
      <c r="D26" s="16" t="n">
        <v>1.8</v>
      </c>
      <c r="E26" s="16" t="n">
        <v>61.4</v>
      </c>
      <c r="F26" s="16" t="n">
        <v>36.8</v>
      </c>
      <c r="G26" s="16" t="n">
        <f aca="false">Table1457[[#This Row],[Clay]]+Table1457[[#This Row],[Silt]]</f>
        <v>98.2</v>
      </c>
      <c r="H26" s="16" t="n">
        <f aca="false">100-Table1457[[#This Row],[Clay2]]-Table1457[[#This Row],[Sand]]</f>
        <v>1.13242748511766E-014</v>
      </c>
      <c r="I26" s="16" t="n">
        <v>50</v>
      </c>
      <c r="J26" s="16" t="n">
        <v>31</v>
      </c>
      <c r="K26" s="16" t="n">
        <f aca="false">Table1457[[#This Row],[LL]]-Table1457[[#This Row],[PL]]</f>
        <v>19</v>
      </c>
      <c r="L26" s="15" t="n">
        <v>4</v>
      </c>
      <c r="M26" s="15"/>
      <c r="N26" s="17" t="n">
        <f aca="false">Table1457[[#This Row],[UCS_std_Soaked_7Days]]</f>
        <v>42.24</v>
      </c>
      <c r="O26" s="15" t="n">
        <v>42.24</v>
      </c>
      <c r="P26" s="14" t="n">
        <v>69.26</v>
      </c>
      <c r="Q26" s="14" t="n">
        <v>59.903</v>
      </c>
      <c r="R26" s="14" t="n">
        <v>87.96</v>
      </c>
      <c r="S26" s="19" t="s">
        <v>27</v>
      </c>
      <c r="AMH26" s="0"/>
      <c r="AMI26" s="0"/>
      <c r="AMJ26" s="0"/>
    </row>
    <row r="27" s="20" customFormat="true" ht="14.9" hidden="false" customHeight="false" outlineLevel="0" collapsed="false">
      <c r="A27" s="14"/>
      <c r="B27" s="15" t="s">
        <v>29</v>
      </c>
      <c r="C27" s="15" t="n">
        <v>4.61</v>
      </c>
      <c r="D27" s="16" t="n">
        <v>1.8</v>
      </c>
      <c r="E27" s="16" t="n">
        <v>61.4</v>
      </c>
      <c r="F27" s="16" t="n">
        <v>36.8</v>
      </c>
      <c r="G27" s="16" t="n">
        <f aca="false">Table1457[[#This Row],[Clay]]+Table1457[[#This Row],[Silt]]</f>
        <v>98.2</v>
      </c>
      <c r="H27" s="16" t="n">
        <f aca="false">100-Table1457[[#This Row],[Clay2]]-Table1457[[#This Row],[Sand]]</f>
        <v>1.13242748511766E-014</v>
      </c>
      <c r="I27" s="16" t="n">
        <v>50</v>
      </c>
      <c r="J27" s="16" t="n">
        <v>31</v>
      </c>
      <c r="K27" s="16" t="n">
        <f aca="false">Table1457[[#This Row],[LL]]-Table1457[[#This Row],[PL]]</f>
        <v>19</v>
      </c>
      <c r="L27" s="15" t="n">
        <v>8</v>
      </c>
      <c r="M27" s="15"/>
      <c r="N27" s="17" t="n">
        <f aca="false">Table1457[[#This Row],[UCS_std_Soaked_7Days]]</f>
        <v>43.98</v>
      </c>
      <c r="O27" s="15" t="n">
        <v>43.98</v>
      </c>
      <c r="P27" s="14" t="n">
        <v>76.17</v>
      </c>
      <c r="Q27" s="14" t="n">
        <v>63.7199</v>
      </c>
      <c r="R27" s="14" t="n">
        <v>98</v>
      </c>
      <c r="S27" s="19" t="s">
        <v>27</v>
      </c>
      <c r="AMH27" s="0"/>
      <c r="AMI27" s="0"/>
      <c r="AMJ27" s="0"/>
    </row>
    <row r="28" s="20" customFormat="true" ht="14.9" hidden="false" customHeight="false" outlineLevel="0" collapsed="false">
      <c r="A28" s="14"/>
      <c r="B28" s="15" t="s">
        <v>29</v>
      </c>
      <c r="C28" s="15" t="n">
        <v>4.61</v>
      </c>
      <c r="D28" s="16" t="n">
        <v>1.8</v>
      </c>
      <c r="E28" s="16" t="n">
        <v>61.4</v>
      </c>
      <c r="F28" s="16" t="n">
        <v>36.8</v>
      </c>
      <c r="G28" s="16" t="n">
        <f aca="false">Table1457[[#This Row],[Clay]]+Table1457[[#This Row],[Silt]]</f>
        <v>98.2</v>
      </c>
      <c r="H28" s="16" t="n">
        <f aca="false">100-Table1457[[#This Row],[Clay2]]-Table1457[[#This Row],[Sand]]</f>
        <v>1.13242748511766E-014</v>
      </c>
      <c r="I28" s="16" t="n">
        <v>50</v>
      </c>
      <c r="J28" s="16" t="n">
        <v>31</v>
      </c>
      <c r="K28" s="16" t="n">
        <f aca="false">Table1457[[#This Row],[LL]]-Table1457[[#This Row],[PL]]</f>
        <v>19</v>
      </c>
      <c r="L28" s="15" t="n">
        <v>12</v>
      </c>
      <c r="M28" s="15"/>
      <c r="N28" s="17" t="n">
        <f aca="false">Table1457[[#This Row],[UCS_std_Soaked_7Days]]</f>
        <v>54.02</v>
      </c>
      <c r="O28" s="15" t="n">
        <v>54.02</v>
      </c>
      <c r="P28" s="14" t="n">
        <v>78.96</v>
      </c>
      <c r="Q28" s="14" t="n">
        <v>72.73</v>
      </c>
      <c r="R28" s="14" t="n">
        <v>113.25</v>
      </c>
      <c r="S28" s="19" t="s">
        <v>27</v>
      </c>
      <c r="AMH28" s="0"/>
      <c r="AMI28" s="0"/>
      <c r="AMJ28" s="0"/>
    </row>
    <row r="29" s="20" customFormat="true" ht="14.9" hidden="false" customHeight="false" outlineLevel="0" collapsed="false">
      <c r="A29" s="14" t="s">
        <v>31</v>
      </c>
      <c r="B29" s="15" t="s">
        <v>32</v>
      </c>
      <c r="C29" s="15" t="n">
        <v>0.55</v>
      </c>
      <c r="D29" s="16" t="n">
        <v>0.7</v>
      </c>
      <c r="E29" s="16" t="n">
        <v>68.3</v>
      </c>
      <c r="F29" s="16" t="n">
        <v>31</v>
      </c>
      <c r="G29" s="16" t="n">
        <f aca="false">Table1457[[#This Row],[Clay]]+Table1457[[#This Row],[Silt]]</f>
        <v>99.3</v>
      </c>
      <c r="H29" s="16" t="n">
        <f aca="false">100-Table1457[[#This Row],[Clay2]]-Table1457[[#This Row],[Sand]]</f>
        <v>2.77555756156289E-015</v>
      </c>
      <c r="I29" s="16" t="n">
        <v>40.5</v>
      </c>
      <c r="J29" s="16" t="n">
        <v>23.5</v>
      </c>
      <c r="K29" s="16" t="n">
        <f aca="false">Table1457[[#This Row],[LL]]-Table1457[[#This Row],[PL]]</f>
        <v>17</v>
      </c>
      <c r="L29" s="15" t="n">
        <v>0</v>
      </c>
      <c r="M29" s="15"/>
      <c r="N29" s="17" t="n">
        <f aca="false">Table1457[[#This Row],[UCS_std_Soaked_7Days]]</f>
        <v>0</v>
      </c>
      <c r="O29" s="15" t="n">
        <v>0</v>
      </c>
      <c r="P29" s="14" t="n">
        <v>80</v>
      </c>
      <c r="Q29" s="14" t="n">
        <v>0</v>
      </c>
      <c r="R29" s="14" t="n">
        <v>80</v>
      </c>
      <c r="S29" s="19" t="s">
        <v>27</v>
      </c>
      <c r="AMH29" s="0"/>
      <c r="AMI29" s="0"/>
      <c r="AMJ29" s="0"/>
    </row>
    <row r="30" s="20" customFormat="true" ht="14.9" hidden="false" customHeight="false" outlineLevel="0" collapsed="false">
      <c r="A30" s="14"/>
      <c r="B30" s="15" t="s">
        <v>32</v>
      </c>
      <c r="C30" s="15" t="n">
        <v>0.55</v>
      </c>
      <c r="D30" s="16" t="n">
        <v>0.7</v>
      </c>
      <c r="E30" s="16" t="n">
        <v>68.3</v>
      </c>
      <c r="F30" s="16" t="n">
        <v>31</v>
      </c>
      <c r="G30" s="16" t="n">
        <f aca="false">Table1457[[#This Row],[Clay]]+Table1457[[#This Row],[Silt]]</f>
        <v>99.3</v>
      </c>
      <c r="H30" s="16" t="n">
        <f aca="false">100-Table1457[[#This Row],[Clay2]]-Table1457[[#This Row],[Sand]]</f>
        <v>2.77555756156289E-015</v>
      </c>
      <c r="I30" s="16" t="n">
        <v>40.5</v>
      </c>
      <c r="J30" s="16" t="n">
        <v>23.5</v>
      </c>
      <c r="K30" s="16" t="n">
        <f aca="false">Table1457[[#This Row],[LL]]-Table1457[[#This Row],[PL]]</f>
        <v>17</v>
      </c>
      <c r="L30" s="15" t="n">
        <v>2</v>
      </c>
      <c r="M30" s="15"/>
      <c r="N30" s="17" t="n">
        <f aca="false">Table1457[[#This Row],[UCS_std_Soaked_7Days]]</f>
        <v>32.311</v>
      </c>
      <c r="O30" s="15" t="n">
        <v>32.311</v>
      </c>
      <c r="P30" s="14" t="n">
        <v>86.7</v>
      </c>
      <c r="Q30" s="14" t="n">
        <v>31.29</v>
      </c>
      <c r="R30" s="14" t="n">
        <v>102.08</v>
      </c>
      <c r="S30" s="19" t="s">
        <v>27</v>
      </c>
      <c r="AMH30" s="0"/>
      <c r="AMI30" s="0"/>
      <c r="AMJ30" s="0"/>
    </row>
    <row r="31" s="20" customFormat="true" ht="14.9" hidden="false" customHeight="false" outlineLevel="0" collapsed="false">
      <c r="A31" s="14"/>
      <c r="B31" s="15" t="s">
        <v>32</v>
      </c>
      <c r="C31" s="15" t="n">
        <v>0.55</v>
      </c>
      <c r="D31" s="16" t="n">
        <v>0.7</v>
      </c>
      <c r="E31" s="16" t="n">
        <v>68.3</v>
      </c>
      <c r="F31" s="16" t="n">
        <v>31</v>
      </c>
      <c r="G31" s="16" t="n">
        <f aca="false">Table1457[[#This Row],[Clay]]+Table1457[[#This Row],[Silt]]</f>
        <v>99.3</v>
      </c>
      <c r="H31" s="16" t="n">
        <f aca="false">100-Table1457[[#This Row],[Clay2]]-Table1457[[#This Row],[Sand]]</f>
        <v>2.77555756156289E-015</v>
      </c>
      <c r="I31" s="16" t="n">
        <v>40.5</v>
      </c>
      <c r="J31" s="16" t="n">
        <v>23.5</v>
      </c>
      <c r="K31" s="16" t="n">
        <f aca="false">Table1457[[#This Row],[LL]]-Table1457[[#This Row],[PL]]</f>
        <v>17</v>
      </c>
      <c r="L31" s="15" t="n">
        <v>4</v>
      </c>
      <c r="M31" s="15"/>
      <c r="N31" s="17" t="n">
        <f aca="false">Table1457[[#This Row],[UCS_std_Soaked_7Days]]</f>
        <v>83.097</v>
      </c>
      <c r="O31" s="15" t="n">
        <v>83.097</v>
      </c>
      <c r="P31" s="14" t="n">
        <v>123.1</v>
      </c>
      <c r="Q31" s="14" t="n">
        <v>136.43</v>
      </c>
      <c r="R31" s="14" t="n">
        <v>195.92</v>
      </c>
      <c r="S31" s="19" t="s">
        <v>27</v>
      </c>
      <c r="AMH31" s="0"/>
      <c r="AMI31" s="0"/>
      <c r="AMJ31" s="0"/>
    </row>
    <row r="32" s="20" customFormat="true" ht="14.9" hidden="false" customHeight="false" outlineLevel="0" collapsed="false">
      <c r="A32" s="14"/>
      <c r="B32" s="15" t="s">
        <v>32</v>
      </c>
      <c r="C32" s="15" t="n">
        <v>0.55</v>
      </c>
      <c r="D32" s="16" t="n">
        <v>0.7</v>
      </c>
      <c r="E32" s="16" t="n">
        <v>68.3</v>
      </c>
      <c r="F32" s="16" t="n">
        <v>31</v>
      </c>
      <c r="G32" s="16" t="n">
        <f aca="false">Table1457[[#This Row],[Clay]]+Table1457[[#This Row],[Silt]]</f>
        <v>99.3</v>
      </c>
      <c r="H32" s="16" t="n">
        <f aca="false">100-Table1457[[#This Row],[Clay2]]-Table1457[[#This Row],[Sand]]</f>
        <v>2.77555756156289E-015</v>
      </c>
      <c r="I32" s="16" t="n">
        <v>40.5</v>
      </c>
      <c r="J32" s="16" t="n">
        <v>23.5</v>
      </c>
      <c r="K32" s="16" t="n">
        <f aca="false">Table1457[[#This Row],[LL]]-Table1457[[#This Row],[PL]]</f>
        <v>17</v>
      </c>
      <c r="L32" s="15" t="n">
        <v>8</v>
      </c>
      <c r="M32" s="15"/>
      <c r="N32" s="17" t="n">
        <f aca="false">Table1457[[#This Row],[UCS_std_Soaked_7Days]]</f>
        <v>103.6</v>
      </c>
      <c r="O32" s="15" t="n">
        <v>103.6</v>
      </c>
      <c r="P32" s="14" t="n">
        <v>139.5</v>
      </c>
      <c r="Q32" s="14" t="n">
        <v>151.81</v>
      </c>
      <c r="R32" s="14" t="n">
        <v>192.83</v>
      </c>
      <c r="S32" s="19" t="s">
        <v>27</v>
      </c>
      <c r="AMH32" s="0"/>
      <c r="AMI32" s="0"/>
      <c r="AMJ32" s="0"/>
    </row>
    <row r="33" s="20" customFormat="true" ht="14.9" hidden="false" customHeight="false" outlineLevel="0" collapsed="false">
      <c r="A33" s="14"/>
      <c r="B33" s="15" t="s">
        <v>32</v>
      </c>
      <c r="C33" s="15" t="n">
        <v>0.55</v>
      </c>
      <c r="D33" s="16" t="n">
        <v>0.7</v>
      </c>
      <c r="E33" s="16" t="n">
        <v>68.3</v>
      </c>
      <c r="F33" s="16" t="n">
        <v>31</v>
      </c>
      <c r="G33" s="16" t="n">
        <f aca="false">Table1457[[#This Row],[Clay]]+Table1457[[#This Row],[Silt]]</f>
        <v>99.3</v>
      </c>
      <c r="H33" s="16" t="n">
        <f aca="false">100-Table1457[[#This Row],[Clay2]]-Table1457[[#This Row],[Sand]]</f>
        <v>2.77555756156289E-015</v>
      </c>
      <c r="I33" s="16" t="n">
        <v>40.5</v>
      </c>
      <c r="J33" s="16" t="n">
        <v>23.5</v>
      </c>
      <c r="K33" s="16" t="n">
        <f aca="false">Table1457[[#This Row],[LL]]-Table1457[[#This Row],[PL]]</f>
        <v>17</v>
      </c>
      <c r="L33" s="15" t="n">
        <v>12</v>
      </c>
      <c r="M33" s="15"/>
      <c r="N33" s="17" t="n">
        <f aca="false">Table1457[[#This Row],[UCS_std_Soaked_7Days]]</f>
        <v>101.57</v>
      </c>
      <c r="O33" s="15" t="n">
        <v>101.57</v>
      </c>
      <c r="P33" s="14" t="n">
        <v>159.01</v>
      </c>
      <c r="Q33" s="14" t="n">
        <v>177.443</v>
      </c>
      <c r="R33" s="14" t="n">
        <v>277.97</v>
      </c>
      <c r="S33" s="19" t="s">
        <v>27</v>
      </c>
      <c r="AMH33" s="0"/>
      <c r="AMI33" s="0"/>
      <c r="AMJ33" s="0"/>
    </row>
    <row r="34" s="20" customFormat="true" ht="13.8" hidden="false" customHeight="false" outlineLevel="0" collapsed="false">
      <c r="A34" s="14" t="s">
        <v>33</v>
      </c>
      <c r="B34" s="15" t="s">
        <v>29</v>
      </c>
      <c r="C34" s="15" t="n">
        <v>2.04</v>
      </c>
      <c r="D34" s="16" t="n">
        <v>1.2</v>
      </c>
      <c r="E34" s="16" t="n">
        <v>69.8</v>
      </c>
      <c r="F34" s="16" t="n">
        <v>29</v>
      </c>
      <c r="G34" s="16" t="n">
        <f aca="false">Table1457[[#This Row],[Clay]]+Table1457[[#This Row],[Silt]]</f>
        <v>98.8</v>
      </c>
      <c r="H34" s="16" t="n">
        <f aca="false">100-Table1457[[#This Row],[Clay2]]-Table1457[[#This Row],[Sand]]</f>
        <v>0</v>
      </c>
      <c r="I34" s="16" t="n">
        <v>37</v>
      </c>
      <c r="J34" s="16" t="n">
        <v>24</v>
      </c>
      <c r="K34" s="16" t="n">
        <f aca="false">Table1457[[#This Row],[LL]]-Table1457[[#This Row],[PL]]</f>
        <v>13</v>
      </c>
      <c r="L34" s="15" t="n">
        <v>0</v>
      </c>
      <c r="M34" s="15"/>
      <c r="N34" s="17" t="n">
        <f aca="false">Table1457[[#This Row],[UCS_std_Soaked_7Days]]</f>
        <v>0</v>
      </c>
      <c r="O34" s="15" t="n">
        <v>0</v>
      </c>
      <c r="P34" s="14" t="n">
        <v>70</v>
      </c>
      <c r="Q34" s="14" t="n">
        <v>0</v>
      </c>
      <c r="R34" s="14" t="n">
        <v>70</v>
      </c>
      <c r="S34" s="19" t="s">
        <v>27</v>
      </c>
      <c r="AMH34" s="0"/>
      <c r="AMI34" s="0"/>
      <c r="AMJ34" s="0"/>
    </row>
    <row r="35" s="20" customFormat="true" ht="14.9" hidden="false" customHeight="false" outlineLevel="0" collapsed="false">
      <c r="A35" s="14"/>
      <c r="B35" s="15" t="s">
        <v>29</v>
      </c>
      <c r="C35" s="15" t="n">
        <v>2.04</v>
      </c>
      <c r="D35" s="16" t="n">
        <v>1.2</v>
      </c>
      <c r="E35" s="16" t="n">
        <v>69.8</v>
      </c>
      <c r="F35" s="16" t="n">
        <v>29</v>
      </c>
      <c r="G35" s="16" t="n">
        <f aca="false">Table1457[[#This Row],[Clay]]+Table1457[[#This Row],[Silt]]</f>
        <v>98.8</v>
      </c>
      <c r="H35" s="16" t="n">
        <f aca="false">100-Table1457[[#This Row],[Clay2]]-Table1457[[#This Row],[Sand]]</f>
        <v>0</v>
      </c>
      <c r="I35" s="16" t="n">
        <v>37</v>
      </c>
      <c r="J35" s="16" t="n">
        <v>24</v>
      </c>
      <c r="K35" s="16" t="n">
        <f aca="false">Table1457[[#This Row],[LL]]-Table1457[[#This Row],[PL]]</f>
        <v>13</v>
      </c>
      <c r="L35" s="15" t="n">
        <v>2</v>
      </c>
      <c r="M35" s="15"/>
      <c r="N35" s="17" t="n">
        <f aca="false">Table1457[[#This Row],[UCS_std_Soaked_7Days]]</f>
        <v>34.06</v>
      </c>
      <c r="O35" s="15" t="n">
        <v>34.06</v>
      </c>
      <c r="P35" s="14" t="n">
        <v>77.42</v>
      </c>
      <c r="Q35" s="14" t="n">
        <v>23.74</v>
      </c>
      <c r="R35" s="14" t="n">
        <v>66.06</v>
      </c>
      <c r="S35" s="19" t="s">
        <v>27</v>
      </c>
      <c r="AMH35" s="0"/>
      <c r="AMI35" s="0"/>
      <c r="AMJ35" s="0"/>
    </row>
    <row r="36" s="20" customFormat="true" ht="14.9" hidden="false" customHeight="false" outlineLevel="0" collapsed="false">
      <c r="A36" s="14"/>
      <c r="B36" s="15" t="s">
        <v>29</v>
      </c>
      <c r="C36" s="15" t="n">
        <v>2.04</v>
      </c>
      <c r="D36" s="16" t="n">
        <v>1.2</v>
      </c>
      <c r="E36" s="16" t="n">
        <v>69.8</v>
      </c>
      <c r="F36" s="16" t="n">
        <v>29</v>
      </c>
      <c r="G36" s="16" t="n">
        <f aca="false">Table1457[[#This Row],[Clay]]+Table1457[[#This Row],[Silt]]</f>
        <v>98.8</v>
      </c>
      <c r="H36" s="16" t="n">
        <f aca="false">100-Table1457[[#This Row],[Clay2]]-Table1457[[#This Row],[Sand]]</f>
        <v>0</v>
      </c>
      <c r="I36" s="16" t="n">
        <v>37</v>
      </c>
      <c r="J36" s="16" t="n">
        <v>24</v>
      </c>
      <c r="K36" s="16" t="n">
        <f aca="false">Table1457[[#This Row],[LL]]-Table1457[[#This Row],[PL]]</f>
        <v>13</v>
      </c>
      <c r="L36" s="15" t="n">
        <v>4</v>
      </c>
      <c r="M36" s="15"/>
      <c r="N36" s="17" t="n">
        <f aca="false">Table1457[[#This Row],[UCS_std_Soaked_7Days]]</f>
        <v>48.51</v>
      </c>
      <c r="O36" s="15" t="n">
        <v>48.51</v>
      </c>
      <c r="P36" s="14" t="n">
        <v>77.42</v>
      </c>
      <c r="Q36" s="14" t="n">
        <v>67.09</v>
      </c>
      <c r="R36" s="14" t="n">
        <v>90.84</v>
      </c>
      <c r="S36" s="19" t="s">
        <v>27</v>
      </c>
      <c r="AMH36" s="0"/>
      <c r="AMI36" s="0"/>
      <c r="AMJ36" s="0"/>
    </row>
    <row r="37" s="20" customFormat="true" ht="14.9" hidden="false" customHeight="false" outlineLevel="0" collapsed="false">
      <c r="A37" s="14"/>
      <c r="B37" s="15" t="s">
        <v>29</v>
      </c>
      <c r="C37" s="15" t="n">
        <v>2.04</v>
      </c>
      <c r="D37" s="16" t="n">
        <v>1.2</v>
      </c>
      <c r="E37" s="16" t="n">
        <v>69.8</v>
      </c>
      <c r="F37" s="16" t="n">
        <v>29</v>
      </c>
      <c r="G37" s="16" t="n">
        <f aca="false">Table1457[[#This Row],[Clay]]+Table1457[[#This Row],[Silt]]</f>
        <v>98.8</v>
      </c>
      <c r="H37" s="16" t="n">
        <f aca="false">100-Table1457[[#This Row],[Clay2]]-Table1457[[#This Row],[Sand]]</f>
        <v>0</v>
      </c>
      <c r="I37" s="16" t="n">
        <v>37</v>
      </c>
      <c r="J37" s="16" t="n">
        <v>24</v>
      </c>
      <c r="K37" s="16" t="n">
        <f aca="false">Table1457[[#This Row],[LL]]-Table1457[[#This Row],[PL]]</f>
        <v>13</v>
      </c>
      <c r="L37" s="15" t="n">
        <v>8</v>
      </c>
      <c r="M37" s="15"/>
      <c r="N37" s="17" t="n">
        <f aca="false">Table1457[[#This Row],[UCS_std_Soaked_7Days]]</f>
        <v>60.93</v>
      </c>
      <c r="O37" s="15" t="n">
        <v>60.93</v>
      </c>
      <c r="P37" s="14" t="n">
        <v>98.06</v>
      </c>
      <c r="Q37" s="14" t="n">
        <v>99.09</v>
      </c>
      <c r="R37" s="14" t="n">
        <v>126.96</v>
      </c>
      <c r="S37" s="19" t="s">
        <v>27</v>
      </c>
      <c r="AMH37" s="0"/>
      <c r="AMI37" s="0"/>
      <c r="AMJ37" s="0"/>
    </row>
    <row r="38" s="20" customFormat="true" ht="14.9" hidden="false" customHeight="false" outlineLevel="0" collapsed="false">
      <c r="A38" s="14"/>
      <c r="B38" s="15" t="s">
        <v>29</v>
      </c>
      <c r="C38" s="15" t="n">
        <v>2.04</v>
      </c>
      <c r="D38" s="16" t="n">
        <v>1.2</v>
      </c>
      <c r="E38" s="16" t="n">
        <v>69.8</v>
      </c>
      <c r="F38" s="16" t="n">
        <v>29</v>
      </c>
      <c r="G38" s="16" t="n">
        <f aca="false">Table1457[[#This Row],[Clay]]+Table1457[[#This Row],[Silt]]</f>
        <v>98.8</v>
      </c>
      <c r="H38" s="16" t="n">
        <f aca="false">100-Table1457[[#This Row],[Clay2]]-Table1457[[#This Row],[Sand]]</f>
        <v>0</v>
      </c>
      <c r="I38" s="16" t="n">
        <v>37</v>
      </c>
      <c r="J38" s="16" t="n">
        <v>24</v>
      </c>
      <c r="K38" s="16" t="n">
        <f aca="false">Table1457[[#This Row],[LL]]-Table1457[[#This Row],[PL]]</f>
        <v>13</v>
      </c>
      <c r="L38" s="15" t="n">
        <v>12</v>
      </c>
      <c r="M38" s="15"/>
      <c r="N38" s="17" t="n">
        <f aca="false">Table1457[[#This Row],[UCS_std_Soaked_7Days]]</f>
        <v>48.51</v>
      </c>
      <c r="O38" s="15" t="n">
        <v>48.51</v>
      </c>
      <c r="P38" s="14" t="n">
        <v>87.74</v>
      </c>
      <c r="Q38" s="14" t="n">
        <v>61.93</v>
      </c>
      <c r="R38" s="14" t="n">
        <v>90.84</v>
      </c>
      <c r="S38" s="19" t="s">
        <v>27</v>
      </c>
      <c r="AMH38" s="0"/>
      <c r="AMI38" s="0"/>
      <c r="AMJ38" s="0"/>
    </row>
    <row r="39" s="20" customFormat="true" ht="14.9" hidden="false" customHeight="false" outlineLevel="0" collapsed="false">
      <c r="A39" s="14" t="s">
        <v>34</v>
      </c>
      <c r="B39" s="15" t="s">
        <v>29</v>
      </c>
      <c r="C39" s="15" t="n">
        <v>3.5</v>
      </c>
      <c r="D39" s="16" t="n">
        <v>2.3</v>
      </c>
      <c r="E39" s="16" t="n">
        <v>69.3</v>
      </c>
      <c r="F39" s="16" t="n">
        <v>28.4</v>
      </c>
      <c r="G39" s="16" t="n">
        <f aca="false">Table1457[[#This Row],[Clay]]+Table1457[[#This Row],[Silt]]</f>
        <v>97.7</v>
      </c>
      <c r="H39" s="16" t="n">
        <f aca="false">100-Table1457[[#This Row],[Clay2]]-Table1457[[#This Row],[Sand]]</f>
        <v>1.15463194561016E-014</v>
      </c>
      <c r="I39" s="16" t="n">
        <v>40.5</v>
      </c>
      <c r="J39" s="16" t="n">
        <v>28.5</v>
      </c>
      <c r="K39" s="16" t="n">
        <f aca="false">Table1457[[#This Row],[LL]]-Table1457[[#This Row],[PL]]</f>
        <v>12</v>
      </c>
      <c r="L39" s="15" t="n">
        <v>0</v>
      </c>
      <c r="M39" s="15"/>
      <c r="N39" s="17" t="n">
        <f aca="false">Table1457[[#This Row],[UCS_std_Soaked_7Days]]</f>
        <v>0</v>
      </c>
      <c r="O39" s="15" t="n">
        <v>0</v>
      </c>
      <c r="P39" s="14" t="n">
        <v>40</v>
      </c>
      <c r="Q39" s="14" t="n">
        <v>0</v>
      </c>
      <c r="R39" s="14" t="n">
        <v>40</v>
      </c>
      <c r="S39" s="19" t="s">
        <v>27</v>
      </c>
      <c r="AMH39" s="0"/>
      <c r="AMI39" s="0"/>
      <c r="AMJ39" s="0"/>
    </row>
    <row r="40" s="20" customFormat="true" ht="14.9" hidden="false" customHeight="false" outlineLevel="0" collapsed="false">
      <c r="A40" s="14"/>
      <c r="B40" s="15" t="s">
        <v>29</v>
      </c>
      <c r="C40" s="15" t="n">
        <v>3.5</v>
      </c>
      <c r="D40" s="16" t="n">
        <v>2.3</v>
      </c>
      <c r="E40" s="16" t="n">
        <v>69.3</v>
      </c>
      <c r="F40" s="16" t="n">
        <v>28.4</v>
      </c>
      <c r="G40" s="16" t="n">
        <f aca="false">Table1457[[#This Row],[Clay]]+Table1457[[#This Row],[Silt]]</f>
        <v>97.7</v>
      </c>
      <c r="H40" s="16" t="n">
        <f aca="false">100-Table1457[[#This Row],[Clay2]]-Table1457[[#This Row],[Sand]]</f>
        <v>1.15463194561016E-014</v>
      </c>
      <c r="I40" s="16" t="n">
        <v>40.5</v>
      </c>
      <c r="J40" s="16" t="n">
        <v>28.5</v>
      </c>
      <c r="K40" s="16" t="n">
        <f aca="false">Table1457[[#This Row],[LL]]-Table1457[[#This Row],[PL]]</f>
        <v>12</v>
      </c>
      <c r="L40" s="15" t="n">
        <v>2</v>
      </c>
      <c r="M40" s="15"/>
      <c r="N40" s="17" t="n">
        <f aca="false">Table1457[[#This Row],[UCS_std_Soaked_7Days]]</f>
        <v>0.17</v>
      </c>
      <c r="O40" s="15" t="n">
        <v>0.17</v>
      </c>
      <c r="P40" s="14" t="n">
        <v>42.75</v>
      </c>
      <c r="Q40" s="14" t="n">
        <v>10.55</v>
      </c>
      <c r="R40" s="14" t="n">
        <v>49</v>
      </c>
      <c r="S40" s="19" t="s">
        <v>27</v>
      </c>
      <c r="AMH40" s="0"/>
      <c r="AMI40" s="0"/>
      <c r="AMJ40" s="0"/>
    </row>
    <row r="41" s="20" customFormat="true" ht="14.9" hidden="false" customHeight="false" outlineLevel="0" collapsed="false">
      <c r="A41" s="14"/>
      <c r="B41" s="15" t="s">
        <v>29</v>
      </c>
      <c r="C41" s="15" t="n">
        <v>3.5</v>
      </c>
      <c r="D41" s="16" t="n">
        <v>2.3</v>
      </c>
      <c r="E41" s="16" t="n">
        <v>69.3</v>
      </c>
      <c r="F41" s="16" t="n">
        <v>28.4</v>
      </c>
      <c r="G41" s="16" t="n">
        <f aca="false">Table1457[[#This Row],[Clay]]+Table1457[[#This Row],[Silt]]</f>
        <v>97.7</v>
      </c>
      <c r="H41" s="16" t="n">
        <f aca="false">100-Table1457[[#This Row],[Clay2]]-Table1457[[#This Row],[Sand]]</f>
        <v>1.15463194561016E-014</v>
      </c>
      <c r="I41" s="16" t="n">
        <v>40.5</v>
      </c>
      <c r="J41" s="16" t="n">
        <v>28.5</v>
      </c>
      <c r="K41" s="16" t="n">
        <f aca="false">Table1457[[#This Row],[LL]]-Table1457[[#This Row],[PL]]</f>
        <v>12</v>
      </c>
      <c r="L41" s="15" t="n">
        <v>4</v>
      </c>
      <c r="M41" s="15"/>
      <c r="N41" s="17" t="n">
        <f aca="false">Table1457[[#This Row],[UCS_std_Soaked_7Days]]</f>
        <v>22.15</v>
      </c>
      <c r="O41" s="15" t="n">
        <v>22.15</v>
      </c>
      <c r="P41" s="14" t="n">
        <v>48.14</v>
      </c>
      <c r="Q41" s="14" t="n">
        <v>21.11</v>
      </c>
      <c r="R41" s="14" t="n">
        <v>40.86</v>
      </c>
      <c r="S41" s="19" t="s">
        <v>27</v>
      </c>
      <c r="AMH41" s="0"/>
      <c r="AMI41" s="0"/>
      <c r="AMJ41" s="0"/>
    </row>
    <row r="42" s="20" customFormat="true" ht="14.9" hidden="false" customHeight="false" outlineLevel="0" collapsed="false">
      <c r="A42" s="14"/>
      <c r="B42" s="15" t="s">
        <v>29</v>
      </c>
      <c r="C42" s="15" t="n">
        <v>3.5</v>
      </c>
      <c r="D42" s="16" t="n">
        <v>2.3</v>
      </c>
      <c r="E42" s="16" t="n">
        <v>69.3</v>
      </c>
      <c r="F42" s="16" t="n">
        <v>28.4</v>
      </c>
      <c r="G42" s="16" t="n">
        <f aca="false">Table1457[[#This Row],[Clay]]+Table1457[[#This Row],[Silt]]</f>
        <v>97.7</v>
      </c>
      <c r="H42" s="16" t="n">
        <f aca="false">100-Table1457[[#This Row],[Clay2]]-Table1457[[#This Row],[Sand]]</f>
        <v>1.15463194561016E-014</v>
      </c>
      <c r="I42" s="16" t="n">
        <v>40.5</v>
      </c>
      <c r="J42" s="16" t="n">
        <v>28.5</v>
      </c>
      <c r="K42" s="16" t="n">
        <f aca="false">Table1457[[#This Row],[LL]]-Table1457[[#This Row],[PL]]</f>
        <v>12</v>
      </c>
      <c r="L42" s="15" t="n">
        <v>8</v>
      </c>
      <c r="M42" s="15"/>
      <c r="N42" s="17" t="n">
        <f aca="false">Table1457[[#This Row],[UCS_std_Soaked_7Days]]</f>
        <v>41.21</v>
      </c>
      <c r="O42" s="15" t="n">
        <v>41.21</v>
      </c>
      <c r="P42" s="14" t="n">
        <v>67.18</v>
      </c>
      <c r="Q42" s="14" t="n">
        <v>40.17</v>
      </c>
      <c r="R42" s="14" t="n">
        <v>68.23</v>
      </c>
      <c r="S42" s="19" t="s">
        <v>27</v>
      </c>
      <c r="AMH42" s="0"/>
      <c r="AMI42" s="0"/>
      <c r="AMJ42" s="0"/>
    </row>
    <row r="43" s="20" customFormat="true" ht="14.9" hidden="false" customHeight="false" outlineLevel="0" collapsed="false">
      <c r="A43" s="14"/>
      <c r="B43" s="15" t="s">
        <v>29</v>
      </c>
      <c r="C43" s="15" t="n">
        <v>3.5</v>
      </c>
      <c r="D43" s="16" t="n">
        <v>2.3</v>
      </c>
      <c r="E43" s="16" t="n">
        <v>69.3</v>
      </c>
      <c r="F43" s="16" t="n">
        <v>28.4</v>
      </c>
      <c r="G43" s="16" t="n">
        <f aca="false">Table1457[[#This Row],[Clay]]+Table1457[[#This Row],[Silt]]</f>
        <v>97.7</v>
      </c>
      <c r="H43" s="16" t="n">
        <f aca="false">100-Table1457[[#This Row],[Clay2]]-Table1457[[#This Row],[Sand]]</f>
        <v>1.15463194561016E-014</v>
      </c>
      <c r="I43" s="16" t="n">
        <v>40.5</v>
      </c>
      <c r="J43" s="16" t="n">
        <v>28.5</v>
      </c>
      <c r="K43" s="16" t="n">
        <f aca="false">Table1457[[#This Row],[LL]]-Table1457[[#This Row],[PL]]</f>
        <v>12</v>
      </c>
      <c r="L43" s="15" t="n">
        <v>12</v>
      </c>
      <c r="M43" s="15"/>
      <c r="N43" s="17" t="n">
        <f aca="false">Table1457[[#This Row],[UCS_std_Soaked_7Days]]</f>
        <v>41.55</v>
      </c>
      <c r="O43" s="15" t="n">
        <v>41.55</v>
      </c>
      <c r="P43" s="14" t="n">
        <v>76.88</v>
      </c>
      <c r="Q43" s="14" t="n">
        <v>52.98</v>
      </c>
      <c r="R43" s="14" t="n">
        <v>85.19</v>
      </c>
      <c r="S43" s="19" t="s">
        <v>27</v>
      </c>
      <c r="AMH43" s="0"/>
      <c r="AMI43" s="0"/>
      <c r="AMJ43" s="0"/>
    </row>
    <row r="44" s="20" customFormat="true" ht="14.9" hidden="false" customHeight="false" outlineLevel="0" collapsed="false">
      <c r="A44" s="14" t="s">
        <v>35</v>
      </c>
      <c r="B44" s="15" t="s">
        <v>23</v>
      </c>
      <c r="C44" s="14" t="n">
        <v>0</v>
      </c>
      <c r="D44" s="16" t="n">
        <v>0.7</v>
      </c>
      <c r="E44" s="16" t="n">
        <v>52.9</v>
      </c>
      <c r="F44" s="16" t="n">
        <v>46.4</v>
      </c>
      <c r="G44" s="16" t="n">
        <f aca="false">Table1457[[#This Row],[Clay]]+Table1457[[#This Row],[Silt]]</f>
        <v>99.3</v>
      </c>
      <c r="H44" s="16" t="n">
        <f aca="false">100-Table1457[[#This Row],[Clay2]]-Table1457[[#This Row],[Sand]]</f>
        <v>2.77555756156289E-015</v>
      </c>
      <c r="I44" s="16" t="n">
        <v>56</v>
      </c>
      <c r="J44" s="16" t="n">
        <v>24</v>
      </c>
      <c r="K44" s="16" t="n">
        <f aca="false">Table1457[[#This Row],[LL]]-Table1457[[#This Row],[PL]]</f>
        <v>32</v>
      </c>
      <c r="L44" s="15" t="n">
        <v>0</v>
      </c>
      <c r="M44" s="15"/>
      <c r="N44" s="17" t="n">
        <f aca="false">Table1457[[#This Row],[UCS_std_Soaked_7Days]]</f>
        <v>0</v>
      </c>
      <c r="O44" s="15" t="n">
        <v>0</v>
      </c>
      <c r="P44" s="14" t="n">
        <v>53.03</v>
      </c>
      <c r="Q44" s="14" t="n">
        <v>0</v>
      </c>
      <c r="R44" s="14" t="n">
        <v>53.03</v>
      </c>
      <c r="S44" s="19" t="s">
        <v>27</v>
      </c>
      <c r="AMH44" s="0"/>
      <c r="AMI44" s="0"/>
      <c r="AMJ44" s="0"/>
    </row>
    <row r="45" s="20" customFormat="true" ht="14.9" hidden="false" customHeight="false" outlineLevel="0" collapsed="false">
      <c r="A45" s="14"/>
      <c r="B45" s="15" t="s">
        <v>23</v>
      </c>
      <c r="C45" s="14" t="n">
        <v>0</v>
      </c>
      <c r="D45" s="16" t="n">
        <v>0.7</v>
      </c>
      <c r="E45" s="16" t="n">
        <v>52.9</v>
      </c>
      <c r="F45" s="16" t="n">
        <v>46.4</v>
      </c>
      <c r="G45" s="16" t="n">
        <f aca="false">Table1457[[#This Row],[Clay]]+Table1457[[#This Row],[Silt]]</f>
        <v>99.3</v>
      </c>
      <c r="H45" s="16" t="n">
        <f aca="false">100-Table1457[[#This Row],[Clay2]]-Table1457[[#This Row],[Sand]]</f>
        <v>2.77555756156289E-015</v>
      </c>
      <c r="I45" s="16" t="n">
        <v>56</v>
      </c>
      <c r="J45" s="16" t="n">
        <v>24</v>
      </c>
      <c r="K45" s="16" t="n">
        <f aca="false">Table1457[[#This Row],[LL]]-Table1457[[#This Row],[PL]]</f>
        <v>32</v>
      </c>
      <c r="L45" s="15" t="n">
        <v>2</v>
      </c>
      <c r="M45" s="15"/>
      <c r="N45" s="17" t="n">
        <f aca="false">Table1457[[#This Row],[UCS_std_Soaked_7Days]]</f>
        <v>29.86</v>
      </c>
      <c r="O45" s="15" t="n">
        <v>29.86</v>
      </c>
      <c r="P45" s="14" t="n">
        <v>85.43</v>
      </c>
      <c r="Q45" s="14" t="n">
        <v>37.45</v>
      </c>
      <c r="R45" s="14" t="n">
        <v>82.92</v>
      </c>
      <c r="S45" s="19" t="s">
        <v>27</v>
      </c>
      <c r="AMH45" s="0"/>
      <c r="AMI45" s="0"/>
      <c r="AMJ45" s="0"/>
    </row>
    <row r="46" s="20" customFormat="true" ht="14.9" hidden="false" customHeight="false" outlineLevel="0" collapsed="false">
      <c r="A46" s="14"/>
      <c r="B46" s="15" t="s">
        <v>23</v>
      </c>
      <c r="C46" s="14" t="n">
        <v>0</v>
      </c>
      <c r="D46" s="16" t="n">
        <v>0.7</v>
      </c>
      <c r="E46" s="16" t="n">
        <v>52.9</v>
      </c>
      <c r="F46" s="16" t="n">
        <v>46.4</v>
      </c>
      <c r="G46" s="16" t="n">
        <f aca="false">Table1457[[#This Row],[Clay]]+Table1457[[#This Row],[Silt]]</f>
        <v>99.3</v>
      </c>
      <c r="H46" s="16" t="n">
        <f aca="false">100-Table1457[[#This Row],[Clay2]]-Table1457[[#This Row],[Sand]]</f>
        <v>2.77555756156289E-015</v>
      </c>
      <c r="I46" s="16" t="n">
        <v>56</v>
      </c>
      <c r="J46" s="16" t="n">
        <v>24</v>
      </c>
      <c r="K46" s="16" t="n">
        <f aca="false">Table1457[[#This Row],[LL]]-Table1457[[#This Row],[PL]]</f>
        <v>32</v>
      </c>
      <c r="L46" s="15" t="n">
        <v>4</v>
      </c>
      <c r="M46" s="15"/>
      <c r="N46" s="17" t="n">
        <f aca="false">Table1457[[#This Row],[UCS_std_Soaked_7Days]]</f>
        <v>77.43</v>
      </c>
      <c r="O46" s="15" t="n">
        <v>77.43</v>
      </c>
      <c r="P46" s="14" t="n">
        <v>117.82</v>
      </c>
      <c r="Q46" s="14" t="n">
        <v>127.94</v>
      </c>
      <c r="R46" s="14" t="n">
        <v>158.24</v>
      </c>
      <c r="S46" s="19" t="s">
        <v>27</v>
      </c>
      <c r="AMH46" s="0"/>
      <c r="AMI46" s="0"/>
      <c r="AMJ46" s="0"/>
    </row>
    <row r="47" s="20" customFormat="true" ht="14.9" hidden="false" customHeight="false" outlineLevel="0" collapsed="false">
      <c r="A47" s="14"/>
      <c r="B47" s="15" t="s">
        <v>23</v>
      </c>
      <c r="C47" s="14" t="n">
        <v>0</v>
      </c>
      <c r="D47" s="16" t="n">
        <v>0.7</v>
      </c>
      <c r="E47" s="16" t="n">
        <v>52.9</v>
      </c>
      <c r="F47" s="16" t="n">
        <v>46.4</v>
      </c>
      <c r="G47" s="16" t="n">
        <f aca="false">Table1457[[#This Row],[Clay]]+Table1457[[#This Row],[Silt]]</f>
        <v>99.3</v>
      </c>
      <c r="H47" s="16" t="n">
        <f aca="false">100-Table1457[[#This Row],[Clay2]]-Table1457[[#This Row],[Sand]]</f>
        <v>2.77555756156289E-015</v>
      </c>
      <c r="I47" s="16" t="n">
        <v>56</v>
      </c>
      <c r="J47" s="16" t="n">
        <v>24</v>
      </c>
      <c r="K47" s="16" t="n">
        <f aca="false">Table1457[[#This Row],[LL]]-Table1457[[#This Row],[PL]]</f>
        <v>32</v>
      </c>
      <c r="L47" s="15" t="n">
        <v>8</v>
      </c>
      <c r="M47" s="15"/>
      <c r="N47" s="17" t="n">
        <f aca="false">Table1457[[#This Row],[UCS_std_Soaked_7Days]]</f>
        <v>129.61</v>
      </c>
      <c r="O47" s="15" t="n">
        <v>129.61</v>
      </c>
      <c r="P47" s="14" t="n">
        <v>177.61</v>
      </c>
      <c r="Q47" s="14" t="n">
        <v>238.21</v>
      </c>
      <c r="R47" s="14" t="n">
        <v>288.73</v>
      </c>
      <c r="S47" s="19" t="s">
        <v>27</v>
      </c>
      <c r="AMH47" s="0"/>
      <c r="AMI47" s="0"/>
      <c r="AMJ47" s="0"/>
    </row>
    <row r="48" s="20" customFormat="true" ht="14.9" hidden="false" customHeight="false" outlineLevel="0" collapsed="false">
      <c r="A48" s="14"/>
      <c r="B48" s="15" t="s">
        <v>23</v>
      </c>
      <c r="C48" s="14" t="n">
        <v>0</v>
      </c>
      <c r="D48" s="16" t="n">
        <v>0.7</v>
      </c>
      <c r="E48" s="16" t="n">
        <v>52.9</v>
      </c>
      <c r="F48" s="16" t="n">
        <v>46.4</v>
      </c>
      <c r="G48" s="16" t="n">
        <f aca="false">Table1457[[#This Row],[Clay]]+Table1457[[#This Row],[Silt]]</f>
        <v>99.3</v>
      </c>
      <c r="H48" s="16" t="n">
        <f aca="false">100-Table1457[[#This Row],[Clay2]]-Table1457[[#This Row],[Sand]]</f>
        <v>2.77555756156289E-015</v>
      </c>
      <c r="I48" s="16" t="n">
        <v>56</v>
      </c>
      <c r="J48" s="16" t="n">
        <v>24</v>
      </c>
      <c r="K48" s="16" t="n">
        <f aca="false">Table1457[[#This Row],[LL]]-Table1457[[#This Row],[PL]]</f>
        <v>32</v>
      </c>
      <c r="L48" s="15" t="n">
        <v>12</v>
      </c>
      <c r="M48" s="15"/>
      <c r="N48" s="17" t="n">
        <f aca="false">Table1457[[#This Row],[UCS_std_Soaked_7Days]]</f>
        <v>146.47</v>
      </c>
      <c r="O48" s="15" t="n">
        <v>146.47</v>
      </c>
      <c r="P48" s="14" t="n">
        <v>196.93</v>
      </c>
      <c r="Q48" s="14" t="n">
        <v>207.081</v>
      </c>
      <c r="R48" s="14" t="n">
        <v>267.68</v>
      </c>
      <c r="S48" s="19" t="s">
        <v>27</v>
      </c>
      <c r="AMH48" s="0"/>
      <c r="AMI48" s="0"/>
      <c r="AMJ48" s="0"/>
    </row>
    <row r="49" s="20" customFormat="true" ht="14.9" hidden="false" customHeight="false" outlineLevel="0" collapsed="false">
      <c r="A49" s="14" t="s">
        <v>36</v>
      </c>
      <c r="B49" s="15" t="s">
        <v>32</v>
      </c>
      <c r="C49" s="14" t="n">
        <v>0</v>
      </c>
      <c r="D49" s="16" t="n">
        <v>0.6</v>
      </c>
      <c r="E49" s="16" t="n">
        <v>57.3</v>
      </c>
      <c r="F49" s="16" t="n">
        <v>42.1</v>
      </c>
      <c r="G49" s="16" t="n">
        <f aca="false">Table1457[[#This Row],[Clay]]+Table1457[[#This Row],[Silt]]</f>
        <v>99.4</v>
      </c>
      <c r="H49" s="16" t="n">
        <f aca="false">100-Table1457[[#This Row],[Clay2]]-Table1457[[#This Row],[Sand]]</f>
        <v>-5.77315972805081E-015</v>
      </c>
      <c r="I49" s="16" t="n">
        <v>48</v>
      </c>
      <c r="J49" s="16" t="n">
        <v>20</v>
      </c>
      <c r="K49" s="16" t="n">
        <f aca="false">Table1457[[#This Row],[LL]]-Table1457[[#This Row],[PL]]</f>
        <v>28</v>
      </c>
      <c r="L49" s="15" t="n">
        <v>0</v>
      </c>
      <c r="M49" s="15"/>
      <c r="N49" s="17" t="n">
        <f aca="false">Table1457[[#This Row],[UCS_std_Soaked_7Days]]</f>
        <v>0</v>
      </c>
      <c r="O49" s="15" t="n">
        <v>0</v>
      </c>
      <c r="P49" s="14" t="n">
        <v>65.36</v>
      </c>
      <c r="Q49" s="14" t="n">
        <v>0</v>
      </c>
      <c r="R49" s="14" t="n">
        <v>65.36</v>
      </c>
      <c r="S49" s="19" t="s">
        <v>27</v>
      </c>
      <c r="AMH49" s="0"/>
      <c r="AMI49" s="0"/>
      <c r="AMJ49" s="0"/>
    </row>
    <row r="50" s="20" customFormat="true" ht="14.9" hidden="false" customHeight="false" outlineLevel="0" collapsed="false">
      <c r="A50" s="14"/>
      <c r="B50" s="15" t="s">
        <v>32</v>
      </c>
      <c r="C50" s="14" t="n">
        <v>0</v>
      </c>
      <c r="D50" s="16" t="n">
        <v>0.6</v>
      </c>
      <c r="E50" s="16" t="n">
        <v>57.3</v>
      </c>
      <c r="F50" s="16" t="n">
        <v>42.1</v>
      </c>
      <c r="G50" s="16" t="n">
        <f aca="false">Table1457[[#This Row],[Clay]]+Table1457[[#This Row],[Silt]]</f>
        <v>99.4</v>
      </c>
      <c r="H50" s="16" t="n">
        <f aca="false">100-Table1457[[#This Row],[Clay2]]-Table1457[[#This Row],[Sand]]</f>
        <v>-5.77315972805081E-015</v>
      </c>
      <c r="I50" s="16" t="n">
        <v>48</v>
      </c>
      <c r="J50" s="16" t="n">
        <v>20</v>
      </c>
      <c r="K50" s="16" t="n">
        <f aca="false">Table1457[[#This Row],[LL]]-Table1457[[#This Row],[PL]]</f>
        <v>28</v>
      </c>
      <c r="L50" s="15" t="n">
        <v>2</v>
      </c>
      <c r="M50" s="15"/>
      <c r="N50" s="17" t="n">
        <f aca="false">Table1457[[#This Row],[UCS_std_Soaked_7Days]]</f>
        <v>27.23</v>
      </c>
      <c r="O50" s="15" t="n">
        <v>27.23</v>
      </c>
      <c r="P50" s="14" t="n">
        <v>102.6</v>
      </c>
      <c r="Q50" s="14" t="n">
        <v>0</v>
      </c>
      <c r="R50" s="14" t="n">
        <v>107.637</v>
      </c>
      <c r="S50" s="19" t="s">
        <v>27</v>
      </c>
      <c r="AMH50" s="0"/>
      <c r="AMI50" s="0"/>
      <c r="AMJ50" s="0"/>
    </row>
    <row r="51" s="20" customFormat="true" ht="14.9" hidden="false" customHeight="false" outlineLevel="0" collapsed="false">
      <c r="A51" s="14"/>
      <c r="B51" s="15" t="s">
        <v>32</v>
      </c>
      <c r="C51" s="14" t="n">
        <v>0</v>
      </c>
      <c r="D51" s="16" t="n">
        <v>0.6</v>
      </c>
      <c r="E51" s="16" t="n">
        <v>57.3</v>
      </c>
      <c r="F51" s="16" t="n">
        <v>42.1</v>
      </c>
      <c r="G51" s="16" t="n">
        <f aca="false">Table1457[[#This Row],[Clay]]+Table1457[[#This Row],[Silt]]</f>
        <v>99.4</v>
      </c>
      <c r="H51" s="16" t="n">
        <f aca="false">100-Table1457[[#This Row],[Clay2]]-Table1457[[#This Row],[Sand]]</f>
        <v>-5.77315972805081E-015</v>
      </c>
      <c r="I51" s="16" t="n">
        <v>48</v>
      </c>
      <c r="J51" s="16" t="n">
        <v>20</v>
      </c>
      <c r="K51" s="16" t="n">
        <f aca="false">Table1457[[#This Row],[LL]]-Table1457[[#This Row],[PL]]</f>
        <v>28</v>
      </c>
      <c r="L51" s="15" t="n">
        <v>4</v>
      </c>
      <c r="M51" s="15"/>
      <c r="N51" s="17" t="n">
        <f aca="false">Table1457[[#This Row],[UCS_std_Soaked_7Days]]</f>
        <v>124.82</v>
      </c>
      <c r="O51" s="15" t="n">
        <v>124.82</v>
      </c>
      <c r="P51" s="14" t="n">
        <v>170.027</v>
      </c>
      <c r="Q51" s="14" t="n">
        <v>202.69</v>
      </c>
      <c r="R51" s="14" t="n">
        <v>270.54</v>
      </c>
      <c r="S51" s="19" t="s">
        <v>27</v>
      </c>
      <c r="AMH51" s="0"/>
      <c r="AMI51" s="0"/>
      <c r="AMJ51" s="0"/>
    </row>
    <row r="52" s="20" customFormat="true" ht="14.9" hidden="false" customHeight="false" outlineLevel="0" collapsed="false">
      <c r="A52" s="14"/>
      <c r="B52" s="15" t="s">
        <v>32</v>
      </c>
      <c r="C52" s="14" t="n">
        <v>0</v>
      </c>
      <c r="D52" s="16" t="n">
        <v>0.6</v>
      </c>
      <c r="E52" s="16" t="n">
        <v>57.3</v>
      </c>
      <c r="F52" s="16" t="n">
        <v>42.1</v>
      </c>
      <c r="G52" s="16" t="n">
        <f aca="false">Table1457[[#This Row],[Clay]]+Table1457[[#This Row],[Silt]]</f>
        <v>99.4</v>
      </c>
      <c r="H52" s="16" t="n">
        <f aca="false">100-Table1457[[#This Row],[Clay2]]-Table1457[[#This Row],[Sand]]</f>
        <v>-5.77315972805081E-015</v>
      </c>
      <c r="I52" s="16" t="n">
        <v>48</v>
      </c>
      <c r="J52" s="16" t="n">
        <v>20</v>
      </c>
      <c r="K52" s="16" t="n">
        <f aca="false">Table1457[[#This Row],[LL]]-Table1457[[#This Row],[PL]]</f>
        <v>28</v>
      </c>
      <c r="L52" s="15" t="n">
        <v>8</v>
      </c>
      <c r="M52" s="15"/>
      <c r="N52" s="17" t="n">
        <f aca="false">Table1457[[#This Row],[UCS_std_Soaked_7Days]]</f>
        <v>149.1</v>
      </c>
      <c r="O52" s="15" t="n">
        <v>149.1</v>
      </c>
      <c r="P52" s="14" t="n">
        <v>201.85</v>
      </c>
      <c r="Q52" s="14" t="n">
        <v>267.19</v>
      </c>
      <c r="R52" s="14" t="n">
        <v>340.03</v>
      </c>
      <c r="S52" s="19" t="s">
        <v>27</v>
      </c>
      <c r="AMH52" s="0"/>
      <c r="AMI52" s="0"/>
      <c r="AMJ52" s="0"/>
    </row>
    <row r="53" s="20" customFormat="true" ht="13.8" hidden="false" customHeight="false" outlineLevel="0" collapsed="false">
      <c r="A53" s="14"/>
      <c r="B53" s="15" t="s">
        <v>32</v>
      </c>
      <c r="C53" s="14" t="n">
        <v>0</v>
      </c>
      <c r="D53" s="16" t="n">
        <v>0.6</v>
      </c>
      <c r="E53" s="16" t="n">
        <v>57.3</v>
      </c>
      <c r="F53" s="16" t="n">
        <v>42.1</v>
      </c>
      <c r="G53" s="16" t="n">
        <f aca="false">Table1457[[#This Row],[Clay]]+Table1457[[#This Row],[Silt]]</f>
        <v>99.4</v>
      </c>
      <c r="H53" s="16" t="n">
        <f aca="false">100-Table1457[[#This Row],[Clay2]]-Table1457[[#This Row],[Sand]]</f>
        <v>-5.77315972805081E-015</v>
      </c>
      <c r="I53" s="16" t="n">
        <v>48</v>
      </c>
      <c r="J53" s="16" t="n">
        <v>20</v>
      </c>
      <c r="K53" s="16" t="n">
        <f aca="false">Table1457[[#This Row],[LL]]-Table1457[[#This Row],[PL]]</f>
        <v>28</v>
      </c>
      <c r="L53" s="15" t="n">
        <v>12</v>
      </c>
      <c r="M53" s="15"/>
      <c r="N53" s="17" t="n">
        <f aca="false">Table1457[[#This Row],[UCS_std_Soaked_7Days]]</f>
        <v>178.4</v>
      </c>
      <c r="O53" s="15" t="n">
        <v>178.4</v>
      </c>
      <c r="P53" s="14" t="n">
        <v>218.614</v>
      </c>
      <c r="Q53" s="14" t="n">
        <v>251.3</v>
      </c>
      <c r="R53" s="14" t="n">
        <v>288.96</v>
      </c>
      <c r="S53" s="19" t="s">
        <v>27</v>
      </c>
      <c r="AMH53" s="0"/>
      <c r="AMI53" s="0"/>
      <c r="AMJ53" s="0"/>
    </row>
    <row r="54" s="20" customFormat="true" ht="13.8" hidden="false" customHeight="false" outlineLevel="0" collapsed="false">
      <c r="A54" s="14" t="s">
        <v>37</v>
      </c>
      <c r="B54" s="15" t="s">
        <v>32</v>
      </c>
      <c r="C54" s="14" t="n">
        <v>0</v>
      </c>
      <c r="D54" s="16" t="n">
        <v>0.3</v>
      </c>
      <c r="E54" s="16" t="n">
        <v>70.5</v>
      </c>
      <c r="F54" s="16" t="n">
        <v>29.2</v>
      </c>
      <c r="G54" s="16" t="n">
        <f aca="false">Table1457[[#This Row],[Clay]]+Table1457[[#This Row],[Silt]]</f>
        <v>99.7</v>
      </c>
      <c r="H54" s="16" t="n">
        <f aca="false">100-Table1457[[#This Row],[Clay2]]-Table1457[[#This Row],[Sand]]</f>
        <v>-2.88657986402541E-015</v>
      </c>
      <c r="I54" s="16" t="n">
        <v>37.5</v>
      </c>
      <c r="J54" s="16" t="n">
        <v>23</v>
      </c>
      <c r="K54" s="16" t="n">
        <f aca="false">Table1457[[#This Row],[LL]]-Table1457[[#This Row],[PL]]</f>
        <v>14.5</v>
      </c>
      <c r="L54" s="15" t="n">
        <v>0</v>
      </c>
      <c r="M54" s="15"/>
      <c r="N54" s="17" t="n">
        <f aca="false">Table1457[[#This Row],[UCS_std_Soaked_7Days]]</f>
        <v>0</v>
      </c>
      <c r="O54" s="15" t="n">
        <v>0</v>
      </c>
      <c r="P54" s="14" t="n">
        <v>85.42</v>
      </c>
      <c r="Q54" s="14" t="n">
        <v>0</v>
      </c>
      <c r="R54" s="14" t="n">
        <v>85.42</v>
      </c>
      <c r="S54" s="19" t="s">
        <v>27</v>
      </c>
      <c r="AMH54" s="0"/>
      <c r="AMI54" s="0"/>
      <c r="AMJ54" s="0"/>
    </row>
    <row r="55" s="20" customFormat="true" ht="14.9" hidden="false" customHeight="false" outlineLevel="0" collapsed="false">
      <c r="A55" s="14"/>
      <c r="B55" s="15" t="s">
        <v>32</v>
      </c>
      <c r="C55" s="14" t="n">
        <v>0</v>
      </c>
      <c r="D55" s="16" t="n">
        <v>0.3</v>
      </c>
      <c r="E55" s="16" t="n">
        <v>70.5</v>
      </c>
      <c r="F55" s="16" t="n">
        <v>29.2</v>
      </c>
      <c r="G55" s="16" t="n">
        <f aca="false">Table1457[[#This Row],[Clay]]+Table1457[[#This Row],[Silt]]</f>
        <v>99.7</v>
      </c>
      <c r="H55" s="16" t="n">
        <f aca="false">100-Table1457[[#This Row],[Clay2]]-Table1457[[#This Row],[Sand]]</f>
        <v>-2.88657986402541E-015</v>
      </c>
      <c r="I55" s="16" t="n">
        <v>37.5</v>
      </c>
      <c r="J55" s="16" t="n">
        <v>23</v>
      </c>
      <c r="K55" s="16" t="n">
        <f aca="false">Table1457[[#This Row],[LL]]-Table1457[[#This Row],[PL]]</f>
        <v>14.5</v>
      </c>
      <c r="L55" s="15" t="n">
        <v>2</v>
      </c>
      <c r="M55" s="15"/>
      <c r="N55" s="17" t="n">
        <f aca="false">Table1457[[#This Row],[UCS_std_Soaked_7Days]]</f>
        <v>56.96</v>
      </c>
      <c r="O55" s="15" t="n">
        <v>56.96</v>
      </c>
      <c r="P55" s="14" t="n">
        <v>104.64</v>
      </c>
      <c r="Q55" s="14" t="n">
        <v>21.76</v>
      </c>
      <c r="R55" s="14" t="n">
        <v>99.67</v>
      </c>
      <c r="S55" s="19" t="s">
        <v>27</v>
      </c>
      <c r="AMH55" s="0"/>
      <c r="AMI55" s="0"/>
      <c r="AMJ55" s="0"/>
    </row>
    <row r="56" s="20" customFormat="true" ht="14.9" hidden="false" customHeight="false" outlineLevel="0" collapsed="false">
      <c r="A56" s="14"/>
      <c r="B56" s="15" t="s">
        <v>32</v>
      </c>
      <c r="C56" s="14" t="n">
        <v>0</v>
      </c>
      <c r="D56" s="16" t="n">
        <v>0.3</v>
      </c>
      <c r="E56" s="16" t="n">
        <v>70.5</v>
      </c>
      <c r="F56" s="16" t="n">
        <v>29.2</v>
      </c>
      <c r="G56" s="16" t="n">
        <f aca="false">Table1457[[#This Row],[Clay]]+Table1457[[#This Row],[Silt]]</f>
        <v>99.7</v>
      </c>
      <c r="H56" s="16" t="n">
        <f aca="false">100-Table1457[[#This Row],[Clay2]]-Table1457[[#This Row],[Sand]]</f>
        <v>-2.88657986402541E-015</v>
      </c>
      <c r="I56" s="16" t="n">
        <v>37.5</v>
      </c>
      <c r="J56" s="16" t="n">
        <v>23</v>
      </c>
      <c r="K56" s="16" t="n">
        <f aca="false">Table1457[[#This Row],[LL]]-Table1457[[#This Row],[PL]]</f>
        <v>14.5</v>
      </c>
      <c r="L56" s="15" t="n">
        <v>4</v>
      </c>
      <c r="M56" s="15"/>
      <c r="N56" s="17" t="n">
        <f aca="false">Table1457[[#This Row],[UCS_std_Soaked_7Days]]</f>
        <v>129.01</v>
      </c>
      <c r="O56" s="15" t="n">
        <v>129.01</v>
      </c>
      <c r="P56" s="14" t="n">
        <v>164.22</v>
      </c>
      <c r="Q56" s="14" t="n">
        <v>254.62</v>
      </c>
      <c r="R56" s="14" t="n">
        <v>307.36</v>
      </c>
      <c r="S56" s="19" t="s">
        <v>27</v>
      </c>
      <c r="AMH56" s="0"/>
      <c r="AMI56" s="0"/>
      <c r="AMJ56" s="0"/>
    </row>
    <row r="57" s="20" customFormat="true" ht="13.8" hidden="false" customHeight="false" outlineLevel="0" collapsed="false">
      <c r="A57" s="14"/>
      <c r="B57" s="15" t="s">
        <v>32</v>
      </c>
      <c r="C57" s="14" t="n">
        <v>0</v>
      </c>
      <c r="D57" s="16" t="n">
        <v>0.3</v>
      </c>
      <c r="E57" s="16" t="n">
        <v>70.5</v>
      </c>
      <c r="F57" s="16" t="n">
        <v>29.2</v>
      </c>
      <c r="G57" s="16" t="n">
        <f aca="false">Table1457[[#This Row],[Clay]]+Table1457[[#This Row],[Silt]]</f>
        <v>99.7</v>
      </c>
      <c r="H57" s="16" t="n">
        <f aca="false">100-Table1457[[#This Row],[Clay2]]-Table1457[[#This Row],[Sand]]</f>
        <v>-2.88657986402541E-015</v>
      </c>
      <c r="I57" s="16" t="n">
        <v>37.5</v>
      </c>
      <c r="J57" s="16" t="n">
        <v>23</v>
      </c>
      <c r="K57" s="16" t="n">
        <f aca="false">Table1457[[#This Row],[LL]]-Table1457[[#This Row],[PL]]</f>
        <v>14.5</v>
      </c>
      <c r="L57" s="15" t="n">
        <v>8</v>
      </c>
      <c r="M57" s="15"/>
      <c r="N57" s="17" t="n">
        <f aca="false">Table1457[[#This Row],[UCS_std_Soaked_7Days]]</f>
        <v>154.93</v>
      </c>
      <c r="O57" s="15" t="n">
        <v>154.93</v>
      </c>
      <c r="P57" s="14" t="n">
        <v>200.152</v>
      </c>
      <c r="Q57" s="14" t="n">
        <v>330.86</v>
      </c>
      <c r="R57" s="14" t="n">
        <v>368.5</v>
      </c>
      <c r="S57" s="19" t="s">
        <v>27</v>
      </c>
      <c r="AMH57" s="0"/>
      <c r="AMI57" s="0"/>
      <c r="AMJ57" s="0"/>
    </row>
    <row r="58" s="20" customFormat="true" ht="13.8" hidden="false" customHeight="false" outlineLevel="0" collapsed="false">
      <c r="A58" s="14"/>
      <c r="B58" s="15" t="s">
        <v>32</v>
      </c>
      <c r="C58" s="14" t="n">
        <v>0</v>
      </c>
      <c r="D58" s="16" t="n">
        <v>0.3</v>
      </c>
      <c r="E58" s="16" t="n">
        <v>70.5</v>
      </c>
      <c r="F58" s="16" t="n">
        <v>29.2</v>
      </c>
      <c r="G58" s="16" t="n">
        <f aca="false">Table1457[[#This Row],[Clay]]+Table1457[[#This Row],[Silt]]</f>
        <v>99.7</v>
      </c>
      <c r="H58" s="16" t="n">
        <f aca="false">100-Table1457[[#This Row],[Clay2]]-Table1457[[#This Row],[Sand]]</f>
        <v>-2.88657986402541E-015</v>
      </c>
      <c r="I58" s="16" t="n">
        <v>37.5</v>
      </c>
      <c r="J58" s="16" t="n">
        <v>23</v>
      </c>
      <c r="K58" s="16" t="n">
        <f aca="false">Table1457[[#This Row],[LL]]-Table1457[[#This Row],[PL]]</f>
        <v>14.5</v>
      </c>
      <c r="L58" s="15" t="n">
        <v>12</v>
      </c>
      <c r="M58" s="15"/>
      <c r="N58" s="17" t="n">
        <f aca="false">Table1457[[#This Row],[UCS_std_Soaked_7Days]]</f>
        <v>145.72</v>
      </c>
      <c r="O58" s="15" t="n">
        <v>145.72</v>
      </c>
      <c r="P58" s="14" t="n">
        <v>193.5</v>
      </c>
      <c r="Q58" s="14" t="n">
        <v>289</v>
      </c>
      <c r="R58" s="14" t="n">
        <v>369.35</v>
      </c>
      <c r="S58" s="19" t="s">
        <v>27</v>
      </c>
      <c r="AMH58" s="0"/>
      <c r="AMI58" s="0"/>
      <c r="AMJ58" s="0"/>
    </row>
    <row r="59" s="20" customFormat="true" ht="14.9" hidden="false" customHeight="false" outlineLevel="0" collapsed="false">
      <c r="A59" s="14" t="s">
        <v>38</v>
      </c>
      <c r="B59" s="15" t="s">
        <v>39</v>
      </c>
      <c r="C59" s="15" t="n">
        <v>0</v>
      </c>
      <c r="D59" s="16" t="n">
        <v>0</v>
      </c>
      <c r="E59" s="16" t="n">
        <v>81</v>
      </c>
      <c r="F59" s="16" t="n">
        <v>19</v>
      </c>
      <c r="G59" s="16" t="n">
        <f aca="false">Table1457[[#This Row],[Clay]]+Table1457[[#This Row],[Silt]]</f>
        <v>100</v>
      </c>
      <c r="H59" s="16" t="n">
        <f aca="false">100-Table1457[[#This Row],[Clay2]]-Table1457[[#This Row],[Sand]]</f>
        <v>0</v>
      </c>
      <c r="I59" s="16" t="n">
        <v>31.5</v>
      </c>
      <c r="J59" s="16" t="n">
        <v>23.5</v>
      </c>
      <c r="K59" s="16" t="n">
        <f aca="false">Table1457[[#This Row],[LL]]-Table1457[[#This Row],[PL]]</f>
        <v>8</v>
      </c>
      <c r="L59" s="15" t="n">
        <v>0</v>
      </c>
      <c r="M59" s="15"/>
      <c r="N59" s="17" t="n">
        <f aca="false">Table1457[[#This Row],[UCS_std_Soaked_7Days]]</f>
        <v>0</v>
      </c>
      <c r="O59" s="15" t="n">
        <v>0</v>
      </c>
      <c r="P59" s="14" t="n">
        <v>63.44</v>
      </c>
      <c r="Q59" s="14" t="n">
        <v>0</v>
      </c>
      <c r="R59" s="14" t="n">
        <v>63.44</v>
      </c>
      <c r="S59" s="19" t="s">
        <v>27</v>
      </c>
      <c r="AMH59" s="0"/>
      <c r="AMI59" s="0"/>
      <c r="AMJ59" s="0"/>
    </row>
    <row r="60" s="20" customFormat="true" ht="13.8" hidden="false" customHeight="false" outlineLevel="0" collapsed="false">
      <c r="A60" s="14"/>
      <c r="B60" s="15" t="s">
        <v>39</v>
      </c>
      <c r="C60" s="15" t="n">
        <v>0</v>
      </c>
      <c r="D60" s="16" t="n">
        <v>0</v>
      </c>
      <c r="E60" s="16" t="n">
        <v>81</v>
      </c>
      <c r="F60" s="16" t="n">
        <v>19</v>
      </c>
      <c r="G60" s="16" t="n">
        <f aca="false">Table1457[[#This Row],[Clay]]+Table1457[[#This Row],[Silt]]</f>
        <v>100</v>
      </c>
      <c r="H60" s="16" t="n">
        <f aca="false">100-Table1457[[#This Row],[Clay2]]-Table1457[[#This Row],[Sand]]</f>
        <v>0</v>
      </c>
      <c r="I60" s="16" t="n">
        <v>31.5</v>
      </c>
      <c r="J60" s="16" t="n">
        <v>23.5</v>
      </c>
      <c r="K60" s="16" t="n">
        <f aca="false">Table1457[[#This Row],[LL]]-Table1457[[#This Row],[PL]]</f>
        <v>8</v>
      </c>
      <c r="L60" s="15" t="n">
        <v>2</v>
      </c>
      <c r="M60" s="15"/>
      <c r="N60" s="17" t="n">
        <f aca="false">Table1457[[#This Row],[UCS_std_Soaked_7Days]]</f>
        <v>116.344</v>
      </c>
      <c r="O60" s="15" t="n">
        <v>116.344</v>
      </c>
      <c r="P60" s="14" t="n">
        <v>167.095</v>
      </c>
      <c r="Q60" s="14" t="n">
        <v>60.485</v>
      </c>
      <c r="R60" s="14" t="n">
        <v>174.71</v>
      </c>
      <c r="S60" s="19" t="s">
        <v>27</v>
      </c>
      <c r="AMH60" s="0"/>
      <c r="AMI60" s="0"/>
      <c r="AMJ60" s="0"/>
    </row>
    <row r="61" s="20" customFormat="true" ht="13.8" hidden="false" customHeight="false" outlineLevel="0" collapsed="false">
      <c r="A61" s="14"/>
      <c r="B61" s="15" t="s">
        <v>39</v>
      </c>
      <c r="C61" s="15" t="n">
        <v>0</v>
      </c>
      <c r="D61" s="16" t="n">
        <v>0</v>
      </c>
      <c r="E61" s="16" t="n">
        <v>81</v>
      </c>
      <c r="F61" s="16" t="n">
        <v>19</v>
      </c>
      <c r="G61" s="16" t="n">
        <f aca="false">Table1457[[#This Row],[Clay]]+Table1457[[#This Row],[Silt]]</f>
        <v>100</v>
      </c>
      <c r="H61" s="16" t="n">
        <f aca="false">100-Table1457[[#This Row],[Clay2]]-Table1457[[#This Row],[Sand]]</f>
        <v>0</v>
      </c>
      <c r="I61" s="16" t="n">
        <v>31.5</v>
      </c>
      <c r="J61" s="16" t="n">
        <v>23.5</v>
      </c>
      <c r="K61" s="16" t="n">
        <f aca="false">Table1457[[#This Row],[LL]]-Table1457[[#This Row],[PL]]</f>
        <v>8</v>
      </c>
      <c r="L61" s="15" t="n">
        <v>4</v>
      </c>
      <c r="M61" s="15"/>
      <c r="N61" s="17" t="n">
        <f aca="false">Table1457[[#This Row],[UCS_std_Soaked_7Days]]</f>
        <v>171.73</v>
      </c>
      <c r="O61" s="15" t="n">
        <v>171.73</v>
      </c>
      <c r="P61" s="14" t="n">
        <v>219.97</v>
      </c>
      <c r="Q61" s="14" t="n">
        <v>390.06</v>
      </c>
      <c r="R61" s="14" t="n">
        <v>384.93</v>
      </c>
      <c r="S61" s="19" t="s">
        <v>27</v>
      </c>
      <c r="AMH61" s="0"/>
      <c r="AMI61" s="0"/>
      <c r="AMJ61" s="0"/>
    </row>
    <row r="62" s="20" customFormat="true" ht="13.8" hidden="false" customHeight="false" outlineLevel="0" collapsed="false">
      <c r="A62" s="14"/>
      <c r="B62" s="15" t="s">
        <v>39</v>
      </c>
      <c r="C62" s="15" t="n">
        <v>0</v>
      </c>
      <c r="D62" s="16" t="n">
        <v>0</v>
      </c>
      <c r="E62" s="16" t="n">
        <v>81</v>
      </c>
      <c r="F62" s="16" t="n">
        <v>19</v>
      </c>
      <c r="G62" s="16" t="n">
        <f aca="false">Table1457[[#This Row],[Clay]]+Table1457[[#This Row],[Silt]]</f>
        <v>100</v>
      </c>
      <c r="H62" s="16" t="n">
        <f aca="false">100-Table1457[[#This Row],[Clay2]]-Table1457[[#This Row],[Sand]]</f>
        <v>0</v>
      </c>
      <c r="I62" s="16" t="n">
        <v>31.5</v>
      </c>
      <c r="J62" s="16" t="n">
        <v>23.5</v>
      </c>
      <c r="K62" s="16" t="n">
        <f aca="false">Table1457[[#This Row],[LL]]-Table1457[[#This Row],[PL]]</f>
        <v>8</v>
      </c>
      <c r="L62" s="15" t="n">
        <v>6</v>
      </c>
      <c r="M62" s="15"/>
      <c r="N62" s="17" t="n">
        <f aca="false">Table1457[[#This Row],[UCS_std_Soaked_7Days]]</f>
        <v>201.78</v>
      </c>
      <c r="O62" s="15" t="n">
        <v>201.78</v>
      </c>
      <c r="P62" s="14" t="n">
        <v>232.24</v>
      </c>
      <c r="Q62" s="14" t="n">
        <v>399.76</v>
      </c>
      <c r="R62" s="14" t="n">
        <v>435.27</v>
      </c>
      <c r="S62" s="19" t="s">
        <v>27</v>
      </c>
      <c r="AMH62" s="0"/>
      <c r="AMI62" s="0"/>
      <c r="AMJ62" s="0"/>
    </row>
    <row r="63" s="20" customFormat="true" ht="13.8" hidden="false" customHeight="false" outlineLevel="0" collapsed="false">
      <c r="A63" s="14"/>
      <c r="B63" s="15" t="s">
        <v>39</v>
      </c>
      <c r="C63" s="15" t="n">
        <v>0</v>
      </c>
      <c r="D63" s="16" t="n">
        <v>0</v>
      </c>
      <c r="E63" s="16" t="n">
        <v>81</v>
      </c>
      <c r="F63" s="16" t="n">
        <v>19</v>
      </c>
      <c r="G63" s="16" t="n">
        <f aca="false">Table1457[[#This Row],[Clay]]+Table1457[[#This Row],[Silt]]</f>
        <v>100</v>
      </c>
      <c r="H63" s="16" t="n">
        <f aca="false">100-Table1457[[#This Row],[Clay2]]-Table1457[[#This Row],[Sand]]</f>
        <v>0</v>
      </c>
      <c r="I63" s="16" t="n">
        <v>31.5</v>
      </c>
      <c r="J63" s="16" t="n">
        <v>23.5</v>
      </c>
      <c r="K63" s="16" t="n">
        <f aca="false">Table1457[[#This Row],[LL]]-Table1457[[#This Row],[PL]]</f>
        <v>8</v>
      </c>
      <c r="L63" s="15" t="n">
        <v>8</v>
      </c>
      <c r="M63" s="15"/>
      <c r="N63" s="17" t="n">
        <f aca="false">Table1457[[#This Row],[UCS_std_Soaked_7Days]]</f>
        <v>191.21</v>
      </c>
      <c r="O63" s="15" t="n">
        <v>191.21</v>
      </c>
      <c r="P63" s="14" t="n">
        <v>262.26</v>
      </c>
      <c r="Q63" s="14" t="n">
        <v>412.024</v>
      </c>
      <c r="R63" s="14" t="n">
        <v>462.78</v>
      </c>
      <c r="S63" s="19" t="s">
        <v>27</v>
      </c>
      <c r="AMH63" s="0"/>
      <c r="AMI63" s="0"/>
      <c r="AMJ63" s="0"/>
    </row>
    <row r="64" s="20" customFormat="true" ht="13.8" hidden="false" customHeight="false" outlineLevel="0" collapsed="false">
      <c r="A64" s="14"/>
      <c r="B64" s="15" t="s">
        <v>39</v>
      </c>
      <c r="C64" s="15" t="n">
        <v>0</v>
      </c>
      <c r="D64" s="16" t="n">
        <v>0</v>
      </c>
      <c r="E64" s="16" t="n">
        <v>81</v>
      </c>
      <c r="F64" s="16" t="n">
        <v>19</v>
      </c>
      <c r="G64" s="16" t="n">
        <f aca="false">Table1457[[#This Row],[Clay]]+Table1457[[#This Row],[Silt]]</f>
        <v>100</v>
      </c>
      <c r="H64" s="16" t="n">
        <f aca="false">100-Table1457[[#This Row],[Clay2]]-Table1457[[#This Row],[Sand]]</f>
        <v>0</v>
      </c>
      <c r="I64" s="16" t="n">
        <v>31.5</v>
      </c>
      <c r="J64" s="16" t="n">
        <v>23.5</v>
      </c>
      <c r="K64" s="16" t="n">
        <f aca="false">Table1457[[#This Row],[LL]]-Table1457[[#This Row],[PL]]</f>
        <v>8</v>
      </c>
      <c r="L64" s="15" t="n">
        <v>12</v>
      </c>
      <c r="M64" s="15"/>
      <c r="N64" s="17" t="n">
        <f aca="false">Table1457[[#This Row],[UCS_std_Soaked_7Days]]</f>
        <v>236.029</v>
      </c>
      <c r="O64" s="15" t="n">
        <v>236.029</v>
      </c>
      <c r="P64" s="14" t="n">
        <v>251.27</v>
      </c>
      <c r="Q64" s="14" t="n">
        <v>423.868</v>
      </c>
      <c r="R64" s="14" t="n">
        <v>467</v>
      </c>
      <c r="S64" s="19" t="s">
        <v>27</v>
      </c>
      <c r="AMH64" s="0"/>
      <c r="AMI64" s="0"/>
      <c r="AMJ64" s="0"/>
    </row>
    <row r="65" s="20" customFormat="true" ht="13.8" hidden="false" customHeight="false" outlineLevel="0" collapsed="false">
      <c r="A65" s="14" t="s">
        <v>40</v>
      </c>
      <c r="B65" s="15" t="s">
        <v>23</v>
      </c>
      <c r="C65" s="15" t="n">
        <v>3.76</v>
      </c>
      <c r="D65" s="16" t="n">
        <v>11.7</v>
      </c>
      <c r="E65" s="16" t="n">
        <v>39.7</v>
      </c>
      <c r="F65" s="16" t="n">
        <v>48.6</v>
      </c>
      <c r="G65" s="16" t="n">
        <f aca="false">Table1457[[#This Row],[Clay]]+Table1457[[#This Row],[Silt]]</f>
        <v>88.3</v>
      </c>
      <c r="H65" s="16" t="n">
        <f aca="false">100-Table1457[[#This Row],[Clay2]]-Table1457[[#This Row],[Sand]]</f>
        <v>0</v>
      </c>
      <c r="I65" s="16" t="n">
        <v>60</v>
      </c>
      <c r="J65" s="16" t="n">
        <v>30.5</v>
      </c>
      <c r="K65" s="16" t="n">
        <f aca="false">Table1457[[#This Row],[LL]]-Table1457[[#This Row],[PL]]</f>
        <v>29.5</v>
      </c>
      <c r="L65" s="15" t="n">
        <v>0</v>
      </c>
      <c r="M65" s="15"/>
      <c r="N65" s="17" t="n">
        <f aca="false">Table1457[[#This Row],[UCS_std_Soaked_7Days]]</f>
        <v>9.08</v>
      </c>
      <c r="O65" s="15" t="n">
        <v>9.08</v>
      </c>
      <c r="P65" s="14" t="n">
        <v>71.72</v>
      </c>
      <c r="Q65" s="14" t="n">
        <v>9.08</v>
      </c>
      <c r="R65" s="14" t="n">
        <v>71.72</v>
      </c>
      <c r="S65" s="19" t="s">
        <v>27</v>
      </c>
      <c r="AMH65" s="0"/>
      <c r="AMI65" s="0"/>
      <c r="AMJ65" s="0"/>
    </row>
    <row r="66" s="20" customFormat="true" ht="13.8" hidden="false" customHeight="false" outlineLevel="0" collapsed="false">
      <c r="A66" s="14"/>
      <c r="B66" s="15" t="s">
        <v>23</v>
      </c>
      <c r="C66" s="15" t="n">
        <v>3.76</v>
      </c>
      <c r="D66" s="16" t="n">
        <v>11.7</v>
      </c>
      <c r="E66" s="16" t="n">
        <v>39.7</v>
      </c>
      <c r="F66" s="16" t="n">
        <v>48.6</v>
      </c>
      <c r="G66" s="16" t="n">
        <f aca="false">Table1457[[#This Row],[Clay]]+Table1457[[#This Row],[Silt]]</f>
        <v>88.3</v>
      </c>
      <c r="H66" s="16" t="n">
        <f aca="false">100-Table1457[[#This Row],[Clay2]]-Table1457[[#This Row],[Sand]]</f>
        <v>0</v>
      </c>
      <c r="I66" s="16" t="n">
        <v>60</v>
      </c>
      <c r="J66" s="16" t="n">
        <v>30.5</v>
      </c>
      <c r="K66" s="16" t="n">
        <f aca="false">Table1457[[#This Row],[LL]]-Table1457[[#This Row],[PL]]</f>
        <v>29.5</v>
      </c>
      <c r="L66" s="15" t="n">
        <v>2</v>
      </c>
      <c r="M66" s="15"/>
      <c r="N66" s="17" t="n">
        <f aca="false">Table1457[[#This Row],[UCS_std_Soaked_7Days]]</f>
        <v>39.56</v>
      </c>
      <c r="O66" s="15" t="n">
        <v>39.56</v>
      </c>
      <c r="P66" s="14" t="n">
        <v>84.01</v>
      </c>
      <c r="Q66" s="14" t="n">
        <v>31.48</v>
      </c>
      <c r="R66" s="14" t="n">
        <v>92.1</v>
      </c>
      <c r="S66" s="19" t="s">
        <v>27</v>
      </c>
      <c r="AMH66" s="0"/>
      <c r="AMI66" s="0"/>
      <c r="AMJ66" s="0"/>
    </row>
    <row r="67" s="20" customFormat="true" ht="13.8" hidden="false" customHeight="false" outlineLevel="0" collapsed="false">
      <c r="A67" s="14"/>
      <c r="B67" s="15" t="s">
        <v>23</v>
      </c>
      <c r="C67" s="15" t="n">
        <v>3.76</v>
      </c>
      <c r="D67" s="16" t="n">
        <v>11.7</v>
      </c>
      <c r="E67" s="16" t="n">
        <v>39.7</v>
      </c>
      <c r="F67" s="16" t="n">
        <v>48.6</v>
      </c>
      <c r="G67" s="16" t="n">
        <f aca="false">Table1457[[#This Row],[Clay]]+Table1457[[#This Row],[Silt]]</f>
        <v>88.3</v>
      </c>
      <c r="H67" s="16" t="n">
        <f aca="false">100-Table1457[[#This Row],[Clay2]]-Table1457[[#This Row],[Sand]]</f>
        <v>0</v>
      </c>
      <c r="I67" s="16" t="n">
        <v>60</v>
      </c>
      <c r="J67" s="16" t="n">
        <v>30.5</v>
      </c>
      <c r="K67" s="16" t="n">
        <f aca="false">Table1457[[#This Row],[LL]]-Table1457[[#This Row],[PL]]</f>
        <v>29.5</v>
      </c>
      <c r="L67" s="15" t="n">
        <v>4</v>
      </c>
      <c r="M67" s="15"/>
      <c r="N67" s="17" t="n">
        <f aca="false">Table1457[[#This Row],[UCS_std_Soaked_7Days]]</f>
        <v>106.39</v>
      </c>
      <c r="O67" s="15" t="n">
        <v>106.39</v>
      </c>
      <c r="P67" s="14" t="n">
        <v>129.63</v>
      </c>
      <c r="Q67" s="14" t="n">
        <v>136.69</v>
      </c>
      <c r="R67" s="14" t="n">
        <v>166</v>
      </c>
      <c r="S67" s="19" t="s">
        <v>27</v>
      </c>
      <c r="AMH67" s="0"/>
      <c r="AMI67" s="0"/>
      <c r="AMJ67" s="0"/>
    </row>
    <row r="68" s="20" customFormat="true" ht="13.8" hidden="false" customHeight="false" outlineLevel="0" collapsed="false">
      <c r="A68" s="14"/>
      <c r="B68" s="15" t="s">
        <v>23</v>
      </c>
      <c r="C68" s="15" t="n">
        <v>3.76</v>
      </c>
      <c r="D68" s="16" t="n">
        <v>11.7</v>
      </c>
      <c r="E68" s="16" t="n">
        <v>39.7</v>
      </c>
      <c r="F68" s="16" t="n">
        <v>48.6</v>
      </c>
      <c r="G68" s="16" t="n">
        <f aca="false">Table1457[[#This Row],[Clay]]+Table1457[[#This Row],[Silt]]</f>
        <v>88.3</v>
      </c>
      <c r="H68" s="16" t="n">
        <f aca="false">100-Table1457[[#This Row],[Clay2]]-Table1457[[#This Row],[Sand]]</f>
        <v>0</v>
      </c>
      <c r="I68" s="16" t="n">
        <v>60</v>
      </c>
      <c r="J68" s="16" t="n">
        <v>30.5</v>
      </c>
      <c r="K68" s="16" t="n">
        <f aca="false">Table1457[[#This Row],[LL]]-Table1457[[#This Row],[PL]]</f>
        <v>29.5</v>
      </c>
      <c r="L68" s="15" t="n">
        <v>8</v>
      </c>
      <c r="M68" s="15"/>
      <c r="N68" s="17" t="n">
        <f aca="false">Table1457[[#This Row],[UCS_std_Soaked_7Days]]</f>
        <v>114.81</v>
      </c>
      <c r="O68" s="15" t="n">
        <v>114.81</v>
      </c>
      <c r="P68" s="14" t="n">
        <v>143.1</v>
      </c>
      <c r="Q68" s="14" t="n">
        <v>202.69</v>
      </c>
      <c r="R68" s="14" t="n">
        <v>216.836</v>
      </c>
      <c r="S68" s="19" t="s">
        <v>27</v>
      </c>
      <c r="AMH68" s="0"/>
      <c r="AMI68" s="0"/>
      <c r="AMJ68" s="0"/>
    </row>
    <row r="69" s="20" customFormat="true" ht="13.8" hidden="false" customHeight="false" outlineLevel="0" collapsed="false">
      <c r="A69" s="14"/>
      <c r="B69" s="15" t="s">
        <v>23</v>
      </c>
      <c r="C69" s="15" t="n">
        <v>3.76</v>
      </c>
      <c r="D69" s="16" t="n">
        <v>11.7</v>
      </c>
      <c r="E69" s="16" t="n">
        <v>39.7</v>
      </c>
      <c r="F69" s="16" t="n">
        <v>48.6</v>
      </c>
      <c r="G69" s="16" t="n">
        <f aca="false">Table1457[[#This Row],[Clay]]+Table1457[[#This Row],[Silt]]</f>
        <v>88.3</v>
      </c>
      <c r="H69" s="16" t="n">
        <f aca="false">100-Table1457[[#This Row],[Clay2]]-Table1457[[#This Row],[Sand]]</f>
        <v>0</v>
      </c>
      <c r="I69" s="16" t="n">
        <v>60</v>
      </c>
      <c r="J69" s="16" t="n">
        <v>30.5</v>
      </c>
      <c r="K69" s="16" t="n">
        <f aca="false">Table1457[[#This Row],[LL]]-Table1457[[#This Row],[PL]]</f>
        <v>29.5</v>
      </c>
      <c r="L69" s="15" t="n">
        <v>12</v>
      </c>
      <c r="M69" s="15"/>
      <c r="N69" s="17" t="n">
        <f aca="false">Table1457[[#This Row],[UCS_std_Soaked_7Days]]</f>
        <v>131.31</v>
      </c>
      <c r="O69" s="15" t="n">
        <v>131.31</v>
      </c>
      <c r="P69" s="14" t="n">
        <v>159.6</v>
      </c>
      <c r="Q69" s="14" t="n">
        <v>222.22</v>
      </c>
      <c r="R69" s="14" t="n">
        <v>279.79</v>
      </c>
      <c r="S69" s="19" t="s">
        <v>27</v>
      </c>
      <c r="AMH69" s="0"/>
      <c r="AMI69" s="0"/>
      <c r="AMJ69" s="0"/>
    </row>
    <row r="70" s="20" customFormat="true" ht="13.8" hidden="false" customHeight="false" outlineLevel="0" collapsed="false">
      <c r="A70" s="14" t="s">
        <v>41</v>
      </c>
      <c r="B70" s="15" t="s">
        <v>42</v>
      </c>
      <c r="C70" s="15" t="n">
        <v>4.77</v>
      </c>
      <c r="D70" s="16" t="n">
        <v>18.1</v>
      </c>
      <c r="E70" s="16" t="n">
        <v>42.5</v>
      </c>
      <c r="F70" s="16" t="n">
        <v>39.2</v>
      </c>
      <c r="G70" s="16" t="n">
        <f aca="false">Table1457[[#This Row],[Clay]]+Table1457[[#This Row],[Silt]]</f>
        <v>81.7</v>
      </c>
      <c r="H70" s="16" t="n">
        <f aca="false">100-Table1457[[#This Row],[Clay2]]-Table1457[[#This Row],[Sand]]</f>
        <v>0.199999999999996</v>
      </c>
      <c r="I70" s="16" t="n">
        <v>54</v>
      </c>
      <c r="J70" s="16" t="n">
        <v>33.5</v>
      </c>
      <c r="K70" s="16" t="n">
        <f aca="false">Table1457[[#This Row],[LL]]-Table1457[[#This Row],[PL]]</f>
        <v>20.5</v>
      </c>
      <c r="L70" s="15" t="n">
        <v>0</v>
      </c>
      <c r="M70" s="15"/>
      <c r="N70" s="17" t="n">
        <f aca="false">Table1457[[#This Row],[UCS_std_Soaked_7Days]]</f>
        <v>0</v>
      </c>
      <c r="O70" s="15" t="n">
        <v>0</v>
      </c>
      <c r="P70" s="14" t="n">
        <v>46.93</v>
      </c>
      <c r="Q70" s="14" t="n">
        <v>0</v>
      </c>
      <c r="R70" s="14" t="n">
        <v>46.93</v>
      </c>
      <c r="S70" s="19" t="s">
        <v>27</v>
      </c>
      <c r="AMH70" s="0"/>
      <c r="AMI70" s="0"/>
      <c r="AMJ70" s="0"/>
    </row>
    <row r="71" s="20" customFormat="true" ht="13.8" hidden="false" customHeight="false" outlineLevel="0" collapsed="false">
      <c r="A71" s="14"/>
      <c r="B71" s="15" t="s">
        <v>42</v>
      </c>
      <c r="C71" s="15" t="n">
        <v>4.77</v>
      </c>
      <c r="D71" s="16" t="n">
        <v>18.1</v>
      </c>
      <c r="E71" s="16" t="n">
        <v>42.5</v>
      </c>
      <c r="F71" s="16" t="n">
        <v>39.2</v>
      </c>
      <c r="G71" s="16" t="n">
        <f aca="false">Table1457[[#This Row],[Clay]]+Table1457[[#This Row],[Silt]]</f>
        <v>81.7</v>
      </c>
      <c r="H71" s="16" t="n">
        <f aca="false">100-Table1457[[#This Row],[Clay2]]-Table1457[[#This Row],[Sand]]</f>
        <v>0.199999999999996</v>
      </c>
      <c r="I71" s="16" t="n">
        <v>54</v>
      </c>
      <c r="J71" s="16" t="n">
        <v>33.5</v>
      </c>
      <c r="K71" s="16" t="n">
        <f aca="false">Table1457[[#This Row],[LL]]-Table1457[[#This Row],[PL]]</f>
        <v>20.5</v>
      </c>
      <c r="L71" s="15" t="n">
        <v>2</v>
      </c>
      <c r="M71" s="15"/>
      <c r="N71" s="17" t="n">
        <f aca="false">Table1457[[#This Row],[UCS_std_Soaked_7Days]]</f>
        <v>18.54</v>
      </c>
      <c r="O71" s="15" t="n">
        <v>18.54</v>
      </c>
      <c r="P71" s="14" t="n">
        <v>40.98</v>
      </c>
      <c r="Q71" s="14" t="n">
        <v>17.52</v>
      </c>
      <c r="R71" s="14" t="n">
        <v>45.067</v>
      </c>
      <c r="S71" s="19" t="s">
        <v>27</v>
      </c>
      <c r="AMH71" s="0"/>
      <c r="AMI71" s="0"/>
      <c r="AMJ71" s="0"/>
    </row>
    <row r="72" s="20" customFormat="true" ht="13.8" hidden="false" customHeight="false" outlineLevel="0" collapsed="false">
      <c r="A72" s="14"/>
      <c r="B72" s="15" t="s">
        <v>42</v>
      </c>
      <c r="C72" s="15" t="n">
        <v>4.77</v>
      </c>
      <c r="D72" s="16" t="n">
        <v>18.1</v>
      </c>
      <c r="E72" s="16" t="n">
        <v>42.5</v>
      </c>
      <c r="F72" s="16" t="n">
        <v>39.2</v>
      </c>
      <c r="G72" s="16" t="n">
        <f aca="false">Table1457[[#This Row],[Clay]]+Table1457[[#This Row],[Silt]]</f>
        <v>81.7</v>
      </c>
      <c r="H72" s="16" t="n">
        <f aca="false">100-Table1457[[#This Row],[Clay2]]-Table1457[[#This Row],[Sand]]</f>
        <v>0.199999999999996</v>
      </c>
      <c r="I72" s="16" t="n">
        <v>54</v>
      </c>
      <c r="J72" s="16" t="n">
        <v>33.5</v>
      </c>
      <c r="K72" s="16" t="n">
        <f aca="false">Table1457[[#This Row],[LL]]-Table1457[[#This Row],[PL]]</f>
        <v>20.5</v>
      </c>
      <c r="L72" s="15" t="n">
        <v>4</v>
      </c>
      <c r="M72" s="15"/>
      <c r="N72" s="17" t="n">
        <f aca="false">Table1457[[#This Row],[UCS_std_Soaked_7Days]]</f>
        <v>19.72</v>
      </c>
      <c r="O72" s="15" t="n">
        <v>19.72</v>
      </c>
      <c r="P72" s="14" t="n">
        <v>34.01</v>
      </c>
      <c r="Q72" s="14" t="n">
        <v>34.01</v>
      </c>
      <c r="R72" s="14" t="n">
        <v>45.24</v>
      </c>
      <c r="S72" s="19" t="s">
        <v>27</v>
      </c>
      <c r="AMH72" s="0"/>
      <c r="AMI72" s="0"/>
      <c r="AMJ72" s="0"/>
    </row>
    <row r="73" s="20" customFormat="true" ht="13.8" hidden="false" customHeight="false" outlineLevel="0" collapsed="false">
      <c r="A73" s="14"/>
      <c r="B73" s="15" t="s">
        <v>42</v>
      </c>
      <c r="C73" s="15" t="n">
        <v>4.77</v>
      </c>
      <c r="D73" s="16" t="n">
        <v>18.1</v>
      </c>
      <c r="E73" s="16" t="n">
        <v>42.5</v>
      </c>
      <c r="F73" s="16" t="n">
        <v>39.2</v>
      </c>
      <c r="G73" s="16" t="n">
        <f aca="false">Table1457[[#This Row],[Clay]]+Table1457[[#This Row],[Silt]]</f>
        <v>81.7</v>
      </c>
      <c r="H73" s="16" t="n">
        <f aca="false">100-Table1457[[#This Row],[Clay2]]-Table1457[[#This Row],[Sand]]</f>
        <v>0.199999999999996</v>
      </c>
      <c r="I73" s="16" t="n">
        <v>54</v>
      </c>
      <c r="J73" s="16" t="n">
        <v>33.5</v>
      </c>
      <c r="K73" s="16" t="n">
        <f aca="false">Table1457[[#This Row],[LL]]-Table1457[[#This Row],[PL]]</f>
        <v>20.5</v>
      </c>
      <c r="L73" s="15" t="n">
        <v>8</v>
      </c>
      <c r="M73" s="15"/>
      <c r="N73" s="17" t="n">
        <f aca="false">Table1457[[#This Row],[UCS_std_Soaked_7Days]]</f>
        <v>31.29</v>
      </c>
      <c r="O73" s="15" t="n">
        <v>31.29</v>
      </c>
      <c r="P73" s="14" t="n">
        <v>59.86</v>
      </c>
      <c r="Q73" s="14" t="n">
        <v>54.76</v>
      </c>
      <c r="R73" s="14" t="n">
        <v>69.04</v>
      </c>
      <c r="S73" s="19" t="s">
        <v>27</v>
      </c>
      <c r="AMH73" s="0"/>
      <c r="AMI73" s="0"/>
      <c r="AMJ73" s="0"/>
    </row>
    <row r="74" s="20" customFormat="true" ht="13.8" hidden="false" customHeight="false" outlineLevel="0" collapsed="false">
      <c r="A74" s="14"/>
      <c r="B74" s="15" t="s">
        <v>42</v>
      </c>
      <c r="C74" s="15" t="n">
        <v>4.77</v>
      </c>
      <c r="D74" s="16" t="n">
        <v>18.1</v>
      </c>
      <c r="E74" s="16" t="n">
        <v>42.5</v>
      </c>
      <c r="F74" s="16" t="n">
        <v>39.2</v>
      </c>
      <c r="G74" s="16" t="n">
        <f aca="false">Table1457[[#This Row],[Clay]]+Table1457[[#This Row],[Silt]]</f>
        <v>81.7</v>
      </c>
      <c r="H74" s="16" t="n">
        <f aca="false">100-Table1457[[#This Row],[Clay2]]-Table1457[[#This Row],[Sand]]</f>
        <v>0.199999999999996</v>
      </c>
      <c r="I74" s="16" t="n">
        <v>54</v>
      </c>
      <c r="J74" s="16" t="n">
        <v>33.5</v>
      </c>
      <c r="K74" s="16" t="n">
        <f aca="false">Table1457[[#This Row],[LL]]-Table1457[[#This Row],[PL]]</f>
        <v>20.5</v>
      </c>
      <c r="L74" s="15" t="n">
        <v>12</v>
      </c>
      <c r="M74" s="15"/>
      <c r="N74" s="17" t="n">
        <f aca="false">Table1457[[#This Row],[UCS_std_Soaked_7Days]]</f>
        <v>43.87</v>
      </c>
      <c r="O74" s="15" t="n">
        <v>43.87</v>
      </c>
      <c r="P74" s="14" t="n">
        <v>72.45</v>
      </c>
      <c r="Q74" s="14" t="n">
        <v>64.29</v>
      </c>
      <c r="R74" s="14" t="n">
        <v>83.67</v>
      </c>
      <c r="S74" s="19" t="s">
        <v>27</v>
      </c>
      <c r="AMH74" s="0"/>
      <c r="AMI74" s="0"/>
      <c r="AMJ74" s="0"/>
    </row>
    <row r="75" s="20" customFormat="true" ht="13.8" hidden="false" customHeight="false" outlineLevel="0" collapsed="false">
      <c r="A75" s="14" t="s">
        <v>43</v>
      </c>
      <c r="B75" s="15" t="s">
        <v>32</v>
      </c>
      <c r="C75" s="15" t="n">
        <v>3.97</v>
      </c>
      <c r="D75" s="16" t="n">
        <v>37.5</v>
      </c>
      <c r="E75" s="16" t="n">
        <v>38.6</v>
      </c>
      <c r="F75" s="16" t="n">
        <v>23.4</v>
      </c>
      <c r="G75" s="16" t="n">
        <f aca="false">Table1457[[#This Row],[Clay]]+Table1457[[#This Row],[Silt]]</f>
        <v>62</v>
      </c>
      <c r="H75" s="16" t="n">
        <f aca="false">100-Table1457[[#This Row],[Clay2]]-Table1457[[#This Row],[Sand]]</f>
        <v>0.5</v>
      </c>
      <c r="I75" s="16" t="n">
        <v>47.5</v>
      </c>
      <c r="J75" s="16" t="n">
        <v>25.5</v>
      </c>
      <c r="K75" s="16" t="n">
        <f aca="false">Table1457[[#This Row],[LL]]-Table1457[[#This Row],[PL]]</f>
        <v>22</v>
      </c>
      <c r="L75" s="15" t="n">
        <v>0</v>
      </c>
      <c r="M75" s="15"/>
      <c r="N75" s="17" t="n">
        <f aca="false">Table1457[[#This Row],[UCS_std_Soaked_7Days]]</f>
        <v>10</v>
      </c>
      <c r="O75" s="15" t="n">
        <v>10</v>
      </c>
      <c r="P75" s="14" t="n">
        <v>38.38</v>
      </c>
      <c r="Q75" s="14" t="n">
        <v>10</v>
      </c>
      <c r="R75" s="14" t="n">
        <v>38.38</v>
      </c>
      <c r="S75" s="19" t="s">
        <v>27</v>
      </c>
      <c r="AMH75" s="0"/>
      <c r="AMI75" s="0"/>
      <c r="AMJ75" s="0"/>
    </row>
    <row r="76" s="20" customFormat="true" ht="13.8" hidden="false" customHeight="false" outlineLevel="0" collapsed="false">
      <c r="A76" s="14"/>
      <c r="B76" s="15" t="s">
        <v>32</v>
      </c>
      <c r="C76" s="15" t="n">
        <v>3.97</v>
      </c>
      <c r="D76" s="16" t="n">
        <v>37.5</v>
      </c>
      <c r="E76" s="16" t="n">
        <v>38.6</v>
      </c>
      <c r="F76" s="16" t="n">
        <v>23.4</v>
      </c>
      <c r="G76" s="16" t="n">
        <f aca="false">Table1457[[#This Row],[Clay]]+Table1457[[#This Row],[Silt]]</f>
        <v>62</v>
      </c>
      <c r="H76" s="16" t="n">
        <f aca="false">100-Table1457[[#This Row],[Clay2]]-Table1457[[#This Row],[Sand]]</f>
        <v>0.5</v>
      </c>
      <c r="I76" s="16" t="n">
        <v>47.5</v>
      </c>
      <c r="J76" s="16" t="n">
        <v>25.5</v>
      </c>
      <c r="K76" s="16" t="n">
        <f aca="false">Table1457[[#This Row],[LL]]-Table1457[[#This Row],[PL]]</f>
        <v>22</v>
      </c>
      <c r="L76" s="15" t="n">
        <v>2</v>
      </c>
      <c r="M76" s="15"/>
      <c r="N76" s="17" t="n">
        <f aca="false">Table1457[[#This Row],[UCS_std_Soaked_7Days]]</f>
        <v>25.42</v>
      </c>
      <c r="O76" s="15" t="n">
        <v>25.42</v>
      </c>
      <c r="P76" s="14" t="n">
        <v>39.55</v>
      </c>
      <c r="Q76" s="14" t="n">
        <v>21.37</v>
      </c>
      <c r="R76" s="14" t="n">
        <v>47.65</v>
      </c>
      <c r="S76" s="19" t="s">
        <v>27</v>
      </c>
      <c r="AMH76" s="0"/>
      <c r="AMI76" s="0"/>
      <c r="AMJ76" s="0"/>
    </row>
    <row r="77" s="20" customFormat="true" ht="13.8" hidden="false" customHeight="false" outlineLevel="0" collapsed="false">
      <c r="A77" s="14"/>
      <c r="B77" s="15" t="s">
        <v>32</v>
      </c>
      <c r="C77" s="15" t="n">
        <v>3.97</v>
      </c>
      <c r="D77" s="16" t="n">
        <v>37.5</v>
      </c>
      <c r="E77" s="16" t="n">
        <v>38.6</v>
      </c>
      <c r="F77" s="16" t="n">
        <v>23.4</v>
      </c>
      <c r="G77" s="16" t="n">
        <f aca="false">Table1457[[#This Row],[Clay]]+Table1457[[#This Row],[Silt]]</f>
        <v>62</v>
      </c>
      <c r="H77" s="16" t="n">
        <f aca="false">100-Table1457[[#This Row],[Clay2]]-Table1457[[#This Row],[Sand]]</f>
        <v>0.5</v>
      </c>
      <c r="I77" s="16" t="n">
        <v>47.5</v>
      </c>
      <c r="J77" s="16" t="n">
        <v>25.5</v>
      </c>
      <c r="K77" s="16" t="n">
        <f aca="false">Table1457[[#This Row],[LL]]-Table1457[[#This Row],[PL]]</f>
        <v>22</v>
      </c>
      <c r="L77" s="15" t="n">
        <v>4</v>
      </c>
      <c r="M77" s="15"/>
      <c r="N77" s="17" t="n">
        <f aca="false">Table1457[[#This Row],[UCS_std_Soaked_7Days]]</f>
        <v>33.67</v>
      </c>
      <c r="O77" s="15" t="n">
        <v>33.67</v>
      </c>
      <c r="P77" s="14" t="n">
        <v>47.81</v>
      </c>
      <c r="Q77" s="14" t="n">
        <v>33.67</v>
      </c>
      <c r="R77" s="14" t="n">
        <v>43.77</v>
      </c>
      <c r="S77" s="19" t="s">
        <v>27</v>
      </c>
      <c r="AMH77" s="0"/>
      <c r="AMI77" s="0"/>
      <c r="AMJ77" s="0"/>
    </row>
    <row r="78" s="20" customFormat="true" ht="13.8" hidden="false" customHeight="false" outlineLevel="0" collapsed="false">
      <c r="A78" s="14"/>
      <c r="B78" s="15" t="s">
        <v>32</v>
      </c>
      <c r="C78" s="15" t="n">
        <v>3.97</v>
      </c>
      <c r="D78" s="16" t="n">
        <v>37.5</v>
      </c>
      <c r="E78" s="16" t="n">
        <v>38.6</v>
      </c>
      <c r="F78" s="16" t="n">
        <v>23.4</v>
      </c>
      <c r="G78" s="16" t="n">
        <f aca="false">Table1457[[#This Row],[Clay]]+Table1457[[#This Row],[Silt]]</f>
        <v>62</v>
      </c>
      <c r="H78" s="16" t="n">
        <f aca="false">100-Table1457[[#This Row],[Clay2]]-Table1457[[#This Row],[Sand]]</f>
        <v>0.5</v>
      </c>
      <c r="I78" s="16" t="n">
        <v>47.5</v>
      </c>
      <c r="J78" s="16" t="n">
        <v>25.5</v>
      </c>
      <c r="K78" s="16" t="n">
        <f aca="false">Table1457[[#This Row],[LL]]-Table1457[[#This Row],[PL]]</f>
        <v>22</v>
      </c>
      <c r="L78" s="15" t="n">
        <v>8</v>
      </c>
      <c r="M78" s="15"/>
      <c r="N78" s="17" t="n">
        <f aca="false">Table1457[[#This Row],[UCS_std_Soaked_7Days]]</f>
        <v>36.02</v>
      </c>
      <c r="O78" s="15" t="n">
        <v>36.02</v>
      </c>
      <c r="P78" s="14" t="n">
        <v>60.26</v>
      </c>
      <c r="Q78" s="14" t="n">
        <v>44.11</v>
      </c>
      <c r="R78" s="14" t="n">
        <v>55.22</v>
      </c>
      <c r="S78" s="19" t="s">
        <v>27</v>
      </c>
      <c r="AMH78" s="0"/>
      <c r="AMI78" s="0"/>
      <c r="AMJ78" s="0"/>
    </row>
    <row r="79" s="20" customFormat="true" ht="13.8" hidden="false" customHeight="false" outlineLevel="0" collapsed="false">
      <c r="A79" s="14"/>
      <c r="B79" s="15" t="s">
        <v>32</v>
      </c>
      <c r="C79" s="15" t="n">
        <v>3.97</v>
      </c>
      <c r="D79" s="16" t="n">
        <v>37.5</v>
      </c>
      <c r="E79" s="16" t="n">
        <v>38.6</v>
      </c>
      <c r="F79" s="16" t="n">
        <v>23.4</v>
      </c>
      <c r="G79" s="16" t="n">
        <f aca="false">Table1457[[#This Row],[Clay]]+Table1457[[#This Row],[Silt]]</f>
        <v>62</v>
      </c>
      <c r="H79" s="16" t="n">
        <f aca="false">100-Table1457[[#This Row],[Clay2]]-Table1457[[#This Row],[Sand]]</f>
        <v>0.5</v>
      </c>
      <c r="I79" s="16" t="n">
        <v>47.5</v>
      </c>
      <c r="J79" s="16" t="n">
        <v>25.5</v>
      </c>
      <c r="K79" s="16" t="n">
        <f aca="false">Table1457[[#This Row],[LL]]-Table1457[[#This Row],[PL]]</f>
        <v>22</v>
      </c>
      <c r="L79" s="15" t="n">
        <v>12</v>
      </c>
      <c r="M79" s="15"/>
      <c r="N79" s="17" t="n">
        <f aca="false">Table1457[[#This Row],[UCS_std_Soaked_7Days]]</f>
        <v>40.4</v>
      </c>
      <c r="O79" s="15" t="n">
        <v>40.4</v>
      </c>
      <c r="P79" s="14" t="n">
        <v>64.65</v>
      </c>
      <c r="Q79" s="14" t="n">
        <v>45.45</v>
      </c>
      <c r="R79" s="14" t="n">
        <v>69.7</v>
      </c>
      <c r="S79" s="19" t="s">
        <v>27</v>
      </c>
      <c r="AMH79" s="0"/>
      <c r="AMI79" s="0"/>
      <c r="AMJ79" s="0"/>
    </row>
    <row r="80" s="20" customFormat="true" ht="13.8" hidden="false" customHeight="false" outlineLevel="0" collapsed="false">
      <c r="A80" s="14" t="s">
        <v>44</v>
      </c>
      <c r="B80" s="15" t="s">
        <v>39</v>
      </c>
      <c r="C80" s="15" t="n">
        <v>1.62</v>
      </c>
      <c r="D80" s="16" t="n">
        <v>38.8</v>
      </c>
      <c r="E80" s="16" t="n">
        <v>47.7</v>
      </c>
      <c r="F80" s="16" t="n">
        <v>12.6</v>
      </c>
      <c r="G80" s="16" t="n">
        <f aca="false">Table1457[[#This Row],[Clay]]+Table1457[[#This Row],[Silt]]</f>
        <v>60.3</v>
      </c>
      <c r="H80" s="16" t="n">
        <f aca="false">100-Table1457[[#This Row],[Clay2]]-Table1457[[#This Row],[Sand]]</f>
        <v>0.899999999999999</v>
      </c>
      <c r="I80" s="16" t="n">
        <v>21</v>
      </c>
      <c r="J80" s="16" t="n">
        <v>17.5</v>
      </c>
      <c r="K80" s="16" t="n">
        <f aca="false">Table1457[[#This Row],[LL]]-Table1457[[#This Row],[PL]]</f>
        <v>3.5</v>
      </c>
      <c r="L80" s="15" t="n">
        <v>0</v>
      </c>
      <c r="M80" s="15"/>
      <c r="N80" s="17" t="n">
        <f aca="false">Table1457[[#This Row],[UCS_std_Soaked_7Days]]</f>
        <v>0</v>
      </c>
      <c r="O80" s="15" t="n">
        <v>0</v>
      </c>
      <c r="P80" s="14" t="n">
        <v>49.67</v>
      </c>
      <c r="Q80" s="14" t="n">
        <v>0</v>
      </c>
      <c r="R80" s="14" t="n">
        <v>49.67</v>
      </c>
      <c r="S80" s="19" t="s">
        <v>27</v>
      </c>
      <c r="AMH80" s="0"/>
      <c r="AMI80" s="0"/>
      <c r="AMJ80" s="0"/>
    </row>
    <row r="81" s="20" customFormat="true" ht="13.8" hidden="false" customHeight="false" outlineLevel="0" collapsed="false">
      <c r="A81" s="14"/>
      <c r="B81" s="15" t="s">
        <v>39</v>
      </c>
      <c r="C81" s="15" t="n">
        <v>1.62</v>
      </c>
      <c r="D81" s="16" t="n">
        <v>38.8</v>
      </c>
      <c r="E81" s="16" t="n">
        <v>47.7</v>
      </c>
      <c r="F81" s="16" t="n">
        <v>12.6</v>
      </c>
      <c r="G81" s="16" t="n">
        <f aca="false">Table1457[[#This Row],[Clay]]+Table1457[[#This Row],[Silt]]</f>
        <v>60.3</v>
      </c>
      <c r="H81" s="16" t="n">
        <f aca="false">100-Table1457[[#This Row],[Clay2]]-Table1457[[#This Row],[Sand]]</f>
        <v>0.899999999999999</v>
      </c>
      <c r="I81" s="16" t="n">
        <v>21</v>
      </c>
      <c r="J81" s="16" t="n">
        <v>17.5</v>
      </c>
      <c r="K81" s="16" t="n">
        <f aca="false">Table1457[[#This Row],[LL]]-Table1457[[#This Row],[PL]]</f>
        <v>3.5</v>
      </c>
      <c r="L81" s="15" t="n">
        <v>2</v>
      </c>
      <c r="M81" s="15"/>
      <c r="N81" s="17" t="n">
        <f aca="false">Table1457[[#This Row],[UCS_std_Soaked_7Days]]</f>
        <v>26.52</v>
      </c>
      <c r="O81" s="15" t="n">
        <v>26.52</v>
      </c>
      <c r="P81" s="14" t="n">
        <v>59.96</v>
      </c>
      <c r="Q81" s="14" t="n">
        <v>34.36</v>
      </c>
      <c r="R81" s="14" t="n">
        <v>51.86</v>
      </c>
      <c r="S81" s="19" t="s">
        <v>27</v>
      </c>
      <c r="AMH81" s="0"/>
      <c r="AMI81" s="0"/>
      <c r="AMJ81" s="0"/>
    </row>
    <row r="82" s="20" customFormat="true" ht="13.8" hidden="false" customHeight="false" outlineLevel="0" collapsed="false">
      <c r="A82" s="14"/>
      <c r="B82" s="15" t="s">
        <v>39</v>
      </c>
      <c r="C82" s="15" t="n">
        <v>1.62</v>
      </c>
      <c r="D82" s="16" t="n">
        <v>38.8</v>
      </c>
      <c r="E82" s="16" t="n">
        <v>47.7</v>
      </c>
      <c r="F82" s="16" t="n">
        <v>12.6</v>
      </c>
      <c r="G82" s="16" t="n">
        <f aca="false">Table1457[[#This Row],[Clay]]+Table1457[[#This Row],[Silt]]</f>
        <v>60.3</v>
      </c>
      <c r="H82" s="16" t="n">
        <f aca="false">100-Table1457[[#This Row],[Clay2]]-Table1457[[#This Row],[Sand]]</f>
        <v>0.899999999999999</v>
      </c>
      <c r="I82" s="16" t="n">
        <v>21</v>
      </c>
      <c r="J82" s="16" t="n">
        <v>17.5</v>
      </c>
      <c r="K82" s="16" t="n">
        <f aca="false">Table1457[[#This Row],[LL]]-Table1457[[#This Row],[PL]]</f>
        <v>3.5</v>
      </c>
      <c r="L82" s="15" t="n">
        <v>4</v>
      </c>
      <c r="M82" s="15"/>
      <c r="N82" s="17" t="n">
        <f aca="false">Table1457[[#This Row],[UCS_std_Soaked_7Days]]</f>
        <v>33.78</v>
      </c>
      <c r="O82" s="15" t="n">
        <v>33.78</v>
      </c>
      <c r="P82" s="14" t="n">
        <v>77.36</v>
      </c>
      <c r="Q82" s="14" t="n">
        <v>43.91</v>
      </c>
      <c r="R82" s="14" t="n">
        <v>64.2</v>
      </c>
      <c r="S82" s="19" t="s">
        <v>27</v>
      </c>
      <c r="AMH82" s="0"/>
      <c r="AMI82" s="0"/>
      <c r="AMJ82" s="0"/>
    </row>
    <row r="83" s="20" customFormat="true" ht="13.8" hidden="false" customHeight="false" outlineLevel="0" collapsed="false">
      <c r="A83" s="14"/>
      <c r="B83" s="15" t="s">
        <v>39</v>
      </c>
      <c r="C83" s="15" t="n">
        <v>1.62</v>
      </c>
      <c r="D83" s="16" t="n">
        <v>38.8</v>
      </c>
      <c r="E83" s="16" t="n">
        <v>47.7</v>
      </c>
      <c r="F83" s="16" t="n">
        <v>12.6</v>
      </c>
      <c r="G83" s="16" t="n">
        <f aca="false">Table1457[[#This Row],[Clay]]+Table1457[[#This Row],[Silt]]</f>
        <v>60.3</v>
      </c>
      <c r="H83" s="16" t="n">
        <f aca="false">100-Table1457[[#This Row],[Clay2]]-Table1457[[#This Row],[Sand]]</f>
        <v>0.899999999999999</v>
      </c>
      <c r="I83" s="16" t="n">
        <v>21</v>
      </c>
      <c r="J83" s="16" t="n">
        <v>17.5</v>
      </c>
      <c r="K83" s="16" t="n">
        <f aca="false">Table1457[[#This Row],[LL]]-Table1457[[#This Row],[PL]]</f>
        <v>3.5</v>
      </c>
      <c r="L83" s="15" t="n">
        <v>8</v>
      </c>
      <c r="M83" s="15"/>
      <c r="N83" s="17" t="n">
        <f aca="false">Table1457[[#This Row],[UCS_std_Soaked_7Days]]</f>
        <v>40.21</v>
      </c>
      <c r="O83" s="15" t="n">
        <v>40.21</v>
      </c>
      <c r="P83" s="14" t="n">
        <v>86.82</v>
      </c>
      <c r="Q83" s="14" t="n">
        <v>54.4</v>
      </c>
      <c r="R83" s="14" t="n">
        <v>93.92</v>
      </c>
      <c r="S83" s="19" t="s">
        <v>27</v>
      </c>
      <c r="AMH83" s="0"/>
      <c r="AMI83" s="0"/>
      <c r="AMJ83" s="0"/>
    </row>
    <row r="84" s="20" customFormat="true" ht="13.8" hidden="false" customHeight="false" outlineLevel="0" collapsed="false">
      <c r="A84" s="14"/>
      <c r="B84" s="15" t="s">
        <v>39</v>
      </c>
      <c r="C84" s="15" t="n">
        <v>1.62</v>
      </c>
      <c r="D84" s="16" t="n">
        <v>38.8</v>
      </c>
      <c r="E84" s="16" t="n">
        <v>47.7</v>
      </c>
      <c r="F84" s="16" t="n">
        <v>12.6</v>
      </c>
      <c r="G84" s="16" t="n">
        <f aca="false">Table1457[[#This Row],[Clay]]+Table1457[[#This Row],[Silt]]</f>
        <v>60.3</v>
      </c>
      <c r="H84" s="16" t="n">
        <f aca="false">100-Table1457[[#This Row],[Clay2]]-Table1457[[#This Row],[Sand]]</f>
        <v>0.899999999999999</v>
      </c>
      <c r="I84" s="16" t="n">
        <v>21</v>
      </c>
      <c r="J84" s="16" t="n">
        <v>17.5</v>
      </c>
      <c r="K84" s="16" t="n">
        <f aca="false">Table1457[[#This Row],[LL]]-Table1457[[#This Row],[PL]]</f>
        <v>3.5</v>
      </c>
      <c r="L84" s="15" t="n">
        <v>12</v>
      </c>
      <c r="M84" s="15"/>
      <c r="N84" s="17" t="n">
        <f aca="false">Table1457[[#This Row],[UCS_std_Soaked_7Days]]</f>
        <v>58.79</v>
      </c>
      <c r="O84" s="15" t="n">
        <v>58.79</v>
      </c>
      <c r="P84" s="14" t="n">
        <v>114.53</v>
      </c>
      <c r="Q84" s="14" t="n">
        <v>82.1</v>
      </c>
      <c r="R84" s="14" t="n">
        <v>135.82</v>
      </c>
      <c r="S84" s="19" t="s">
        <v>27</v>
      </c>
      <c r="AMH84" s="0"/>
      <c r="AMI84" s="0"/>
      <c r="AMJ84" s="0"/>
    </row>
    <row r="85" s="20" customFormat="true" ht="13.8" hidden="false" customHeight="false" outlineLevel="0" collapsed="false">
      <c r="A85" s="14" t="s">
        <v>45</v>
      </c>
      <c r="B85" s="15" t="s">
        <v>23</v>
      </c>
      <c r="C85" s="15" t="n">
        <v>0</v>
      </c>
      <c r="D85" s="16" t="n">
        <v>21.2</v>
      </c>
      <c r="E85" s="16" t="n">
        <v>15.2</v>
      </c>
      <c r="F85" s="16" t="n">
        <v>62.6</v>
      </c>
      <c r="G85" s="16" t="n">
        <f aca="false">Table1457[[#This Row],[Clay]]+Table1457[[#This Row],[Silt]]</f>
        <v>77.8</v>
      </c>
      <c r="H85" s="16" t="n">
        <f aca="false">100-Table1457[[#This Row],[Clay2]]-Table1457[[#This Row],[Sand]]</f>
        <v>1</v>
      </c>
      <c r="I85" s="16" t="n">
        <v>76</v>
      </c>
      <c r="J85" s="16" t="n">
        <v>22.5</v>
      </c>
      <c r="K85" s="16" t="n">
        <f aca="false">Table1457[[#This Row],[LL]]-Table1457[[#This Row],[PL]]</f>
        <v>53.5</v>
      </c>
      <c r="L85" s="15" t="n">
        <v>0</v>
      </c>
      <c r="M85" s="15"/>
      <c r="N85" s="17" t="n">
        <f aca="false">Table1457[[#This Row],[UCS_std_Soaked_7Days]]</f>
        <v>0</v>
      </c>
      <c r="O85" s="15" t="n">
        <v>0</v>
      </c>
      <c r="P85" s="14" t="n">
        <v>78.04</v>
      </c>
      <c r="Q85" s="14" t="n">
        <v>0</v>
      </c>
      <c r="R85" s="14" t="n">
        <v>74.81</v>
      </c>
      <c r="S85" s="19" t="s">
        <v>27</v>
      </c>
      <c r="AMH85" s="0"/>
      <c r="AMI85" s="0"/>
      <c r="AMJ85" s="0"/>
    </row>
    <row r="86" s="20" customFormat="true" ht="13.8" hidden="false" customHeight="false" outlineLevel="0" collapsed="false">
      <c r="A86" s="14"/>
      <c r="B86" s="15" t="s">
        <v>23</v>
      </c>
      <c r="C86" s="15" t="n">
        <v>0</v>
      </c>
      <c r="D86" s="16" t="n">
        <v>21.2</v>
      </c>
      <c r="E86" s="16" t="n">
        <v>15.2</v>
      </c>
      <c r="F86" s="16" t="n">
        <v>62.6</v>
      </c>
      <c r="G86" s="16" t="n">
        <f aca="false">Table1457[[#This Row],[Clay]]+Table1457[[#This Row],[Silt]]</f>
        <v>77.8</v>
      </c>
      <c r="H86" s="16" t="n">
        <f aca="false">100-Table1457[[#This Row],[Clay2]]-Table1457[[#This Row],[Sand]]</f>
        <v>1</v>
      </c>
      <c r="I86" s="16" t="n">
        <v>76</v>
      </c>
      <c r="J86" s="16" t="n">
        <v>22.5</v>
      </c>
      <c r="K86" s="16" t="n">
        <f aca="false">Table1457[[#This Row],[LL]]-Table1457[[#This Row],[PL]]</f>
        <v>53.5</v>
      </c>
      <c r="L86" s="15" t="n">
        <v>2</v>
      </c>
      <c r="M86" s="15"/>
      <c r="N86" s="17" t="n">
        <f aca="false">Table1457[[#This Row],[UCS_std_Soaked_7Days]]</f>
        <v>0</v>
      </c>
      <c r="O86" s="15" t="n">
        <v>0</v>
      </c>
      <c r="P86" s="14" t="n">
        <v>77.51</v>
      </c>
      <c r="Q86" s="14" t="n">
        <v>0</v>
      </c>
      <c r="R86" s="14" t="n">
        <v>51.5</v>
      </c>
      <c r="S86" s="19" t="s">
        <v>27</v>
      </c>
      <c r="AMH86" s="0"/>
      <c r="AMI86" s="0"/>
      <c r="AMJ86" s="0"/>
    </row>
    <row r="87" s="20" customFormat="true" ht="13.8" hidden="false" customHeight="false" outlineLevel="0" collapsed="false">
      <c r="A87" s="14"/>
      <c r="B87" s="15" t="s">
        <v>23</v>
      </c>
      <c r="C87" s="15" t="n">
        <v>0</v>
      </c>
      <c r="D87" s="16" t="n">
        <v>21.2</v>
      </c>
      <c r="E87" s="16" t="n">
        <v>15.2</v>
      </c>
      <c r="F87" s="16" t="n">
        <v>62.6</v>
      </c>
      <c r="G87" s="16" t="n">
        <f aca="false">Table1457[[#This Row],[Clay]]+Table1457[[#This Row],[Silt]]</f>
        <v>77.8</v>
      </c>
      <c r="H87" s="16" t="n">
        <f aca="false">100-Table1457[[#This Row],[Clay2]]-Table1457[[#This Row],[Sand]]</f>
        <v>1</v>
      </c>
      <c r="I87" s="16" t="n">
        <v>76</v>
      </c>
      <c r="J87" s="16" t="n">
        <v>22.5</v>
      </c>
      <c r="K87" s="16" t="n">
        <f aca="false">Table1457[[#This Row],[LL]]-Table1457[[#This Row],[PL]]</f>
        <v>53.5</v>
      </c>
      <c r="L87" s="15" t="n">
        <v>4</v>
      </c>
      <c r="M87" s="15"/>
      <c r="N87" s="17" t="n">
        <f aca="false">Table1457[[#This Row],[UCS_std_Soaked_7Days]]</f>
        <v>47.72</v>
      </c>
      <c r="O87" s="15" t="n">
        <v>47.72</v>
      </c>
      <c r="P87" s="14" t="n">
        <v>119.26</v>
      </c>
      <c r="Q87" s="14" t="n">
        <v>47.7</v>
      </c>
      <c r="R87" s="14" t="n">
        <v>102.96</v>
      </c>
      <c r="S87" s="19" t="s">
        <v>27</v>
      </c>
      <c r="AMH87" s="0"/>
      <c r="AMI87" s="0"/>
      <c r="AMJ87" s="0"/>
    </row>
    <row r="88" s="20" customFormat="true" ht="13.8" hidden="false" customHeight="false" outlineLevel="0" collapsed="false">
      <c r="A88" s="14"/>
      <c r="B88" s="15" t="s">
        <v>23</v>
      </c>
      <c r="C88" s="15" t="n">
        <v>0</v>
      </c>
      <c r="D88" s="16" t="n">
        <v>21.2</v>
      </c>
      <c r="E88" s="16" t="n">
        <v>15.2</v>
      </c>
      <c r="F88" s="16" t="n">
        <v>62.6</v>
      </c>
      <c r="G88" s="16" t="n">
        <f aca="false">Table1457[[#This Row],[Clay]]+Table1457[[#This Row],[Silt]]</f>
        <v>77.8</v>
      </c>
      <c r="H88" s="16" t="n">
        <f aca="false">100-Table1457[[#This Row],[Clay2]]-Table1457[[#This Row],[Sand]]</f>
        <v>1</v>
      </c>
      <c r="I88" s="16" t="n">
        <v>76</v>
      </c>
      <c r="J88" s="16" t="n">
        <v>22.5</v>
      </c>
      <c r="K88" s="16" t="n">
        <f aca="false">Table1457[[#This Row],[LL]]-Table1457[[#This Row],[PL]]</f>
        <v>53.5</v>
      </c>
      <c r="L88" s="15" t="n">
        <v>8</v>
      </c>
      <c r="M88" s="15"/>
      <c r="N88" s="17" t="n">
        <f aca="false">Table1457[[#This Row],[UCS_std_Soaked_7Days]]</f>
        <v>127.92</v>
      </c>
      <c r="O88" s="15" t="n">
        <v>127.92</v>
      </c>
      <c r="P88" s="14" t="n">
        <v>163.69</v>
      </c>
      <c r="Q88" s="14" t="n">
        <v>186.47</v>
      </c>
      <c r="R88" s="14" t="n">
        <v>241.73</v>
      </c>
      <c r="S88" s="19" t="s">
        <v>27</v>
      </c>
      <c r="AMH88" s="0"/>
      <c r="AMI88" s="0"/>
      <c r="AMJ88" s="0"/>
    </row>
    <row r="89" s="20" customFormat="true" ht="13.8" hidden="false" customHeight="false" outlineLevel="0" collapsed="false">
      <c r="A89" s="14"/>
      <c r="B89" s="15" t="s">
        <v>23</v>
      </c>
      <c r="C89" s="15" t="n">
        <v>0</v>
      </c>
      <c r="D89" s="16" t="n">
        <v>21.2</v>
      </c>
      <c r="E89" s="16" t="n">
        <v>15.2</v>
      </c>
      <c r="F89" s="16" t="n">
        <v>62.6</v>
      </c>
      <c r="G89" s="16" t="n">
        <f aca="false">Table1457[[#This Row],[Clay]]+Table1457[[#This Row],[Silt]]</f>
        <v>77.8</v>
      </c>
      <c r="H89" s="16" t="n">
        <f aca="false">100-Table1457[[#This Row],[Clay2]]-Table1457[[#This Row],[Sand]]</f>
        <v>1</v>
      </c>
      <c r="I89" s="16" t="n">
        <v>76</v>
      </c>
      <c r="J89" s="16" t="n">
        <v>22.5</v>
      </c>
      <c r="K89" s="16" t="n">
        <f aca="false">Table1457[[#This Row],[LL]]-Table1457[[#This Row],[PL]]</f>
        <v>53.5</v>
      </c>
      <c r="L89" s="15" t="n">
        <v>12</v>
      </c>
      <c r="M89" s="15"/>
      <c r="N89" s="17" t="n">
        <f aca="false">Table1457[[#This Row],[UCS_std_Soaked_7Days]]</f>
        <v>169.11</v>
      </c>
      <c r="O89" s="15" t="n">
        <v>169.11</v>
      </c>
      <c r="P89" s="14" t="n">
        <v>247.16</v>
      </c>
      <c r="Q89" s="14" t="n">
        <v>230.9</v>
      </c>
      <c r="R89" s="14" t="n">
        <v>289.73</v>
      </c>
      <c r="S89" s="19" t="s">
        <v>27</v>
      </c>
      <c r="AMH89" s="0"/>
      <c r="AMI89" s="0"/>
      <c r="AMJ89" s="0"/>
    </row>
    <row r="90" s="20" customFormat="true" ht="13.8" hidden="false" customHeight="false" outlineLevel="0" collapsed="false">
      <c r="A90" s="14" t="s">
        <v>46</v>
      </c>
      <c r="B90" s="15" t="s">
        <v>32</v>
      </c>
      <c r="C90" s="15" t="n">
        <v>0</v>
      </c>
      <c r="D90" s="16" t="n">
        <v>29.1</v>
      </c>
      <c r="E90" s="16" t="n">
        <v>33.5</v>
      </c>
      <c r="F90" s="16" t="n">
        <v>35.6</v>
      </c>
      <c r="G90" s="16" t="n">
        <f aca="false">Table1457[[#This Row],[Clay]]+Table1457[[#This Row],[Silt]]</f>
        <v>69.1</v>
      </c>
      <c r="H90" s="16" t="n">
        <f aca="false">100-Table1457[[#This Row],[Clay2]]-Table1457[[#This Row],[Sand]]</f>
        <v>1.8</v>
      </c>
      <c r="I90" s="16" t="n">
        <v>34</v>
      </c>
      <c r="J90" s="16" t="n">
        <v>17</v>
      </c>
      <c r="K90" s="16" t="n">
        <f aca="false">Table1457[[#This Row],[LL]]-Table1457[[#This Row],[PL]]</f>
        <v>17</v>
      </c>
      <c r="L90" s="15" t="n">
        <v>0</v>
      </c>
      <c r="M90" s="15"/>
      <c r="N90" s="17" t="n">
        <f aca="false">Table1457[[#This Row],[UCS_std_Soaked_7Days]]</f>
        <v>0</v>
      </c>
      <c r="O90" s="15" t="n">
        <v>0</v>
      </c>
      <c r="P90" s="14" t="n">
        <v>42.39</v>
      </c>
      <c r="Q90" s="14" t="n">
        <v>0</v>
      </c>
      <c r="R90" s="14" t="n">
        <v>42.39</v>
      </c>
      <c r="S90" s="19" t="s">
        <v>27</v>
      </c>
      <c r="AMH90" s="0"/>
      <c r="AMI90" s="0"/>
      <c r="AMJ90" s="0"/>
    </row>
    <row r="91" s="20" customFormat="true" ht="13.8" hidden="false" customHeight="false" outlineLevel="0" collapsed="false">
      <c r="A91" s="14"/>
      <c r="B91" s="15" t="s">
        <v>32</v>
      </c>
      <c r="C91" s="15" t="n">
        <v>0</v>
      </c>
      <c r="D91" s="16" t="n">
        <v>29.1</v>
      </c>
      <c r="E91" s="16" t="n">
        <v>33.5</v>
      </c>
      <c r="F91" s="16" t="n">
        <v>35.6</v>
      </c>
      <c r="G91" s="16" t="n">
        <f aca="false">Table1457[[#This Row],[Clay]]+Table1457[[#This Row],[Silt]]</f>
        <v>69.1</v>
      </c>
      <c r="H91" s="16" t="n">
        <f aca="false">100-Table1457[[#This Row],[Clay2]]-Table1457[[#This Row],[Sand]]</f>
        <v>1.8</v>
      </c>
      <c r="I91" s="16" t="n">
        <v>34</v>
      </c>
      <c r="J91" s="16" t="n">
        <v>17</v>
      </c>
      <c r="K91" s="16" t="n">
        <f aca="false">Table1457[[#This Row],[LL]]-Table1457[[#This Row],[PL]]</f>
        <v>17</v>
      </c>
      <c r="L91" s="15" t="n">
        <v>2</v>
      </c>
      <c r="M91" s="15"/>
      <c r="N91" s="17" t="n">
        <f aca="false">Table1457[[#This Row],[UCS_std_Soaked_7Days]]</f>
        <v>95.09</v>
      </c>
      <c r="O91" s="15" t="n">
        <v>95.09</v>
      </c>
      <c r="P91" s="14" t="n">
        <v>117.93</v>
      </c>
      <c r="Q91" s="14" t="n">
        <v>124.46</v>
      </c>
      <c r="R91" s="14" t="n">
        <v>137.48</v>
      </c>
      <c r="S91" s="19" t="s">
        <v>27</v>
      </c>
      <c r="AMH91" s="0"/>
      <c r="AMI91" s="0"/>
      <c r="AMJ91" s="0"/>
    </row>
    <row r="92" s="20" customFormat="true" ht="13.8" hidden="false" customHeight="false" outlineLevel="0" collapsed="false">
      <c r="A92" s="14"/>
      <c r="B92" s="15" t="s">
        <v>32</v>
      </c>
      <c r="C92" s="15" t="n">
        <v>0</v>
      </c>
      <c r="D92" s="16" t="n">
        <v>29.1</v>
      </c>
      <c r="E92" s="16" t="n">
        <v>33.5</v>
      </c>
      <c r="F92" s="16" t="n">
        <v>35.6</v>
      </c>
      <c r="G92" s="16" t="n">
        <f aca="false">Table1457[[#This Row],[Clay]]+Table1457[[#This Row],[Silt]]</f>
        <v>69.1</v>
      </c>
      <c r="H92" s="16" t="n">
        <f aca="false">100-Table1457[[#This Row],[Clay2]]-Table1457[[#This Row],[Sand]]</f>
        <v>1.8</v>
      </c>
      <c r="I92" s="16" t="n">
        <v>34</v>
      </c>
      <c r="J92" s="16" t="n">
        <v>17</v>
      </c>
      <c r="K92" s="16" t="n">
        <f aca="false">Table1457[[#This Row],[LL]]-Table1457[[#This Row],[PL]]</f>
        <v>17</v>
      </c>
      <c r="L92" s="15" t="n">
        <v>4</v>
      </c>
      <c r="M92" s="15"/>
      <c r="N92" s="17" t="n">
        <f aca="false">Table1457[[#This Row],[UCS_std_Soaked_7Days]]</f>
        <v>138</v>
      </c>
      <c r="O92" s="15" t="n">
        <v>138</v>
      </c>
      <c r="P92" s="14" t="n">
        <v>177.17</v>
      </c>
      <c r="Q92" s="14" t="n">
        <v>132.6</v>
      </c>
      <c r="R92" s="14" t="n">
        <v>261.95</v>
      </c>
      <c r="S92" s="19" t="s">
        <v>27</v>
      </c>
      <c r="AMH92" s="0"/>
      <c r="AMI92" s="0"/>
      <c r="AMJ92" s="0"/>
    </row>
    <row r="93" s="20" customFormat="true" ht="13.8" hidden="false" customHeight="false" outlineLevel="0" collapsed="false">
      <c r="A93" s="14"/>
      <c r="B93" s="15" t="s">
        <v>32</v>
      </c>
      <c r="C93" s="15" t="n">
        <v>0</v>
      </c>
      <c r="D93" s="16" t="n">
        <v>29.1</v>
      </c>
      <c r="E93" s="16" t="n">
        <v>33.5</v>
      </c>
      <c r="F93" s="16" t="n">
        <v>35.6</v>
      </c>
      <c r="G93" s="16" t="n">
        <f aca="false">Table1457[[#This Row],[Clay]]+Table1457[[#This Row],[Silt]]</f>
        <v>69.1</v>
      </c>
      <c r="H93" s="16" t="n">
        <f aca="false">100-Table1457[[#This Row],[Clay2]]-Table1457[[#This Row],[Sand]]</f>
        <v>1.8</v>
      </c>
      <c r="I93" s="16" t="n">
        <v>34</v>
      </c>
      <c r="J93" s="16" t="n">
        <v>17</v>
      </c>
      <c r="K93" s="16" t="n">
        <f aca="false">Table1457[[#This Row],[LL]]-Table1457[[#This Row],[PL]]</f>
        <v>17</v>
      </c>
      <c r="L93" s="15" t="n">
        <v>8</v>
      </c>
      <c r="M93" s="15"/>
      <c r="N93" s="17" t="n">
        <f aca="false">Table1457[[#This Row],[UCS_std_Soaked_7Days]]</f>
        <v>129.32</v>
      </c>
      <c r="O93" s="15" t="n">
        <v>129.32</v>
      </c>
      <c r="P93" s="14" t="n">
        <v>165.21</v>
      </c>
      <c r="Q93" s="14" t="n">
        <v>201.12</v>
      </c>
      <c r="R93" s="14" t="n">
        <v>243.47</v>
      </c>
      <c r="S93" s="19" t="s">
        <v>27</v>
      </c>
      <c r="AMH93" s="0"/>
      <c r="AMI93" s="0"/>
      <c r="AMJ93" s="0"/>
    </row>
    <row r="94" s="20" customFormat="true" ht="13.8" hidden="false" customHeight="false" outlineLevel="0" collapsed="false">
      <c r="A94" s="14"/>
      <c r="B94" s="15" t="s">
        <v>32</v>
      </c>
      <c r="C94" s="15" t="n">
        <v>0</v>
      </c>
      <c r="D94" s="16" t="n">
        <v>29.1</v>
      </c>
      <c r="E94" s="16" t="n">
        <v>33.5</v>
      </c>
      <c r="F94" s="16" t="n">
        <v>35.6</v>
      </c>
      <c r="G94" s="16" t="n">
        <f aca="false">Table1457[[#This Row],[Clay]]+Table1457[[#This Row],[Silt]]</f>
        <v>69.1</v>
      </c>
      <c r="H94" s="16" t="n">
        <f aca="false">100-Table1457[[#This Row],[Clay2]]-Table1457[[#This Row],[Sand]]</f>
        <v>1.8</v>
      </c>
      <c r="I94" s="16" t="n">
        <v>34</v>
      </c>
      <c r="J94" s="16" t="n">
        <v>17</v>
      </c>
      <c r="K94" s="16" t="n">
        <f aca="false">Table1457[[#This Row],[LL]]-Table1457[[#This Row],[PL]]</f>
        <v>17</v>
      </c>
      <c r="L94" s="15" t="n">
        <v>12</v>
      </c>
      <c r="M94" s="15"/>
      <c r="N94" s="17" t="n">
        <f aca="false">Table1457[[#This Row],[UCS_std_Soaked_7Days]]</f>
        <v>120.62</v>
      </c>
      <c r="O94" s="15" t="n">
        <v>120.62</v>
      </c>
      <c r="P94" s="14" t="n">
        <v>166.28</v>
      </c>
      <c r="Q94" s="14" t="n">
        <v>189.14</v>
      </c>
      <c r="R94" s="14" t="n">
        <v>218.49</v>
      </c>
      <c r="S94" s="19" t="s">
        <v>27</v>
      </c>
      <c r="AMH94" s="0"/>
      <c r="AMI94" s="0"/>
      <c r="AMJ94" s="0"/>
    </row>
    <row r="95" s="20" customFormat="true" ht="13.8" hidden="false" customHeight="false" outlineLevel="0" collapsed="false">
      <c r="A95" s="14" t="s">
        <v>47</v>
      </c>
      <c r="B95" s="15" t="s">
        <v>32</v>
      </c>
      <c r="C95" s="15" t="n">
        <v>0</v>
      </c>
      <c r="D95" s="16" t="n">
        <v>33.2</v>
      </c>
      <c r="E95" s="16" t="n">
        <v>30.2</v>
      </c>
      <c r="F95" s="16" t="n">
        <v>33.2</v>
      </c>
      <c r="G95" s="16" t="n">
        <f aca="false">Table1457[[#This Row],[Clay]]+Table1457[[#This Row],[Silt]]</f>
        <v>63.4</v>
      </c>
      <c r="H95" s="16" t="n">
        <f aca="false">100-Table1457[[#This Row],[Clay2]]-Table1457[[#This Row],[Sand]]</f>
        <v>3.39999999999999</v>
      </c>
      <c r="I95" s="16" t="n">
        <v>39</v>
      </c>
      <c r="J95" s="16" t="n">
        <v>18</v>
      </c>
      <c r="K95" s="16" t="n">
        <f aca="false">Table1457[[#This Row],[LL]]-Table1457[[#This Row],[PL]]</f>
        <v>21</v>
      </c>
      <c r="L95" s="15" t="n">
        <v>0</v>
      </c>
      <c r="M95" s="15"/>
      <c r="N95" s="17" t="n">
        <f aca="false">Table1457[[#This Row],[UCS_std_Soaked_7Days]]</f>
        <v>0</v>
      </c>
      <c r="O95" s="15" t="n">
        <v>0</v>
      </c>
      <c r="P95" s="14" t="n">
        <v>71.73</v>
      </c>
      <c r="Q95" s="14" t="n">
        <v>0</v>
      </c>
      <c r="R95" s="14" t="n">
        <v>71.73</v>
      </c>
      <c r="S95" s="19" t="s">
        <v>27</v>
      </c>
      <c r="AMH95" s="0"/>
      <c r="AMI95" s="0"/>
      <c r="AMJ95" s="0"/>
    </row>
    <row r="96" s="20" customFormat="true" ht="13.8" hidden="false" customHeight="false" outlineLevel="0" collapsed="false">
      <c r="A96" s="14"/>
      <c r="B96" s="15" t="s">
        <v>32</v>
      </c>
      <c r="C96" s="15" t="n">
        <v>0</v>
      </c>
      <c r="D96" s="16" t="n">
        <v>33.2</v>
      </c>
      <c r="E96" s="16" t="n">
        <v>30.2</v>
      </c>
      <c r="F96" s="16" t="n">
        <v>33.2</v>
      </c>
      <c r="G96" s="16" t="n">
        <f aca="false">Table1457[[#This Row],[Clay]]+Table1457[[#This Row],[Silt]]</f>
        <v>63.4</v>
      </c>
      <c r="H96" s="16" t="n">
        <f aca="false">100-Table1457[[#This Row],[Clay2]]-Table1457[[#This Row],[Sand]]</f>
        <v>3.39999999999999</v>
      </c>
      <c r="I96" s="16" t="n">
        <v>39</v>
      </c>
      <c r="J96" s="16" t="n">
        <v>18</v>
      </c>
      <c r="K96" s="16" t="n">
        <f aca="false">Table1457[[#This Row],[LL]]-Table1457[[#This Row],[PL]]</f>
        <v>21</v>
      </c>
      <c r="L96" s="15" t="n">
        <v>2</v>
      </c>
      <c r="M96" s="15"/>
      <c r="N96" s="17" t="n">
        <f aca="false">Table1457[[#This Row],[UCS_std_Soaked_7Days]]</f>
        <v>70.79</v>
      </c>
      <c r="O96" s="15" t="n">
        <v>70.79</v>
      </c>
      <c r="P96" s="14" t="n">
        <v>116.31</v>
      </c>
      <c r="Q96" s="14" t="n">
        <v>103.23</v>
      </c>
      <c r="R96" s="14" t="n">
        <v>142.15</v>
      </c>
      <c r="S96" s="19" t="s">
        <v>27</v>
      </c>
      <c r="AMH96" s="0"/>
      <c r="AMI96" s="0"/>
      <c r="AMJ96" s="0"/>
    </row>
    <row r="97" s="20" customFormat="true" ht="13.8" hidden="false" customHeight="false" outlineLevel="0" collapsed="false">
      <c r="A97" s="14"/>
      <c r="B97" s="15" t="s">
        <v>32</v>
      </c>
      <c r="C97" s="15" t="n">
        <v>0</v>
      </c>
      <c r="D97" s="16" t="n">
        <v>33.2</v>
      </c>
      <c r="E97" s="16" t="n">
        <v>30.2</v>
      </c>
      <c r="F97" s="16" t="n">
        <v>33.2</v>
      </c>
      <c r="G97" s="16" t="n">
        <f aca="false">Table1457[[#This Row],[Clay]]+Table1457[[#This Row],[Silt]]</f>
        <v>63.4</v>
      </c>
      <c r="H97" s="16" t="n">
        <f aca="false">100-Table1457[[#This Row],[Clay2]]-Table1457[[#This Row],[Sand]]</f>
        <v>3.39999999999999</v>
      </c>
      <c r="I97" s="16" t="n">
        <v>39</v>
      </c>
      <c r="J97" s="16" t="n">
        <v>18</v>
      </c>
      <c r="K97" s="16" t="n">
        <f aca="false">Table1457[[#This Row],[LL]]-Table1457[[#This Row],[PL]]</f>
        <v>21</v>
      </c>
      <c r="L97" s="15" t="n">
        <v>4</v>
      </c>
      <c r="M97" s="15"/>
      <c r="N97" s="17" t="n">
        <f aca="false">Table1457[[#This Row],[UCS_std_Soaked_7Days]]</f>
        <v>102.69</v>
      </c>
      <c r="O97" s="15" t="n">
        <v>102.69</v>
      </c>
      <c r="P97" s="14" t="n">
        <v>167.55</v>
      </c>
      <c r="Q97" s="14" t="n">
        <v>174.05</v>
      </c>
      <c r="R97" s="14" t="n">
        <v>225.93</v>
      </c>
      <c r="S97" s="19" t="s">
        <v>27</v>
      </c>
      <c r="AMH97" s="0"/>
      <c r="AMI97" s="0"/>
      <c r="AMJ97" s="0"/>
    </row>
    <row r="98" s="20" customFormat="true" ht="14.9" hidden="false" customHeight="false" outlineLevel="0" collapsed="false">
      <c r="A98" s="14"/>
      <c r="B98" s="15" t="s">
        <v>32</v>
      </c>
      <c r="C98" s="15" t="n">
        <v>0</v>
      </c>
      <c r="D98" s="16" t="n">
        <v>33.2</v>
      </c>
      <c r="E98" s="16" t="n">
        <v>30.2</v>
      </c>
      <c r="F98" s="16" t="n">
        <v>33.2</v>
      </c>
      <c r="G98" s="16" t="n">
        <f aca="false">Table1457[[#This Row],[Clay]]+Table1457[[#This Row],[Silt]]</f>
        <v>63.4</v>
      </c>
      <c r="H98" s="16" t="n">
        <f aca="false">100-Table1457[[#This Row],[Clay2]]-Table1457[[#This Row],[Sand]]</f>
        <v>3.39999999999999</v>
      </c>
      <c r="I98" s="16" t="n">
        <v>39</v>
      </c>
      <c r="J98" s="16" t="n">
        <v>18</v>
      </c>
      <c r="K98" s="16" t="n">
        <f aca="false">Table1457[[#This Row],[LL]]-Table1457[[#This Row],[PL]]</f>
        <v>21</v>
      </c>
      <c r="L98" s="15" t="n">
        <v>8</v>
      </c>
      <c r="M98" s="15"/>
      <c r="N98" s="17" t="n">
        <f aca="false">Table1457[[#This Row],[UCS_std_Soaked_7Days]]</f>
        <v>130.8</v>
      </c>
      <c r="O98" s="15" t="n">
        <v>130.8</v>
      </c>
      <c r="P98" s="14" t="n">
        <v>208.64</v>
      </c>
      <c r="Q98" s="14" t="n">
        <v>153.52</v>
      </c>
      <c r="R98" s="14" t="n">
        <v>244.33</v>
      </c>
      <c r="S98" s="19" t="s">
        <v>27</v>
      </c>
      <c r="AMH98" s="0"/>
      <c r="AMI98" s="0"/>
      <c r="AMJ98" s="0"/>
    </row>
    <row r="99" s="20" customFormat="true" ht="14.9" hidden="false" customHeight="false" outlineLevel="0" collapsed="false">
      <c r="A99" s="14"/>
      <c r="B99" s="15" t="s">
        <v>32</v>
      </c>
      <c r="C99" s="15" t="n">
        <v>0</v>
      </c>
      <c r="D99" s="16" t="n">
        <v>33.2</v>
      </c>
      <c r="E99" s="16" t="n">
        <v>30.2</v>
      </c>
      <c r="F99" s="16" t="n">
        <v>33.2</v>
      </c>
      <c r="G99" s="16" t="n">
        <f aca="false">Table1457[[#This Row],[Clay]]+Table1457[[#This Row],[Silt]]</f>
        <v>63.4</v>
      </c>
      <c r="H99" s="16" t="n">
        <f aca="false">100-Table1457[[#This Row],[Clay2]]-Table1457[[#This Row],[Sand]]</f>
        <v>3.39999999999999</v>
      </c>
      <c r="I99" s="16" t="n">
        <v>39</v>
      </c>
      <c r="J99" s="16" t="n">
        <v>18</v>
      </c>
      <c r="K99" s="16" t="n">
        <f aca="false">Table1457[[#This Row],[LL]]-Table1457[[#This Row],[PL]]</f>
        <v>21</v>
      </c>
      <c r="L99" s="15" t="n">
        <v>12</v>
      </c>
      <c r="M99" s="15"/>
      <c r="N99" s="17" t="n">
        <f aca="false">Table1457[[#This Row],[UCS_std_Soaked_7Days]]</f>
        <v>129.73</v>
      </c>
      <c r="O99" s="15" t="n">
        <v>129.73</v>
      </c>
      <c r="P99" s="14" t="n">
        <v>217.27</v>
      </c>
      <c r="Q99" s="14" t="n">
        <v>168.64</v>
      </c>
      <c r="R99" s="14" t="n">
        <v>285.38</v>
      </c>
      <c r="S99" s="19" t="s">
        <v>27</v>
      </c>
      <c r="AMH99" s="0"/>
      <c r="AMI99" s="0"/>
      <c r="AMJ99" s="0"/>
    </row>
    <row r="100" s="20" customFormat="true" ht="14.9" hidden="false" customHeight="false" outlineLevel="0" collapsed="false">
      <c r="A100" s="14" t="s">
        <v>48</v>
      </c>
      <c r="B100" s="15" t="s">
        <v>32</v>
      </c>
      <c r="C100" s="15" t="n">
        <v>0</v>
      </c>
      <c r="D100" s="16" t="n">
        <v>26.5</v>
      </c>
      <c r="E100" s="16" t="n">
        <v>33.1</v>
      </c>
      <c r="F100" s="16" t="n">
        <v>32.4</v>
      </c>
      <c r="G100" s="16" t="n">
        <f aca="false">Table1457[[#This Row],[Clay]]+Table1457[[#This Row],[Silt]]</f>
        <v>65.5</v>
      </c>
      <c r="H100" s="16" t="n">
        <f aca="false">100-Table1457[[#This Row],[Clay2]]-Table1457[[#This Row],[Sand]]</f>
        <v>8</v>
      </c>
      <c r="I100" s="16" t="n">
        <v>34.5</v>
      </c>
      <c r="J100" s="16" t="n">
        <v>18</v>
      </c>
      <c r="K100" s="16" t="n">
        <f aca="false">Table1457[[#This Row],[LL]]-Table1457[[#This Row],[PL]]</f>
        <v>16.5</v>
      </c>
      <c r="L100" s="15" t="n">
        <v>0</v>
      </c>
      <c r="M100" s="15"/>
      <c r="N100" s="17" t="n">
        <f aca="false">Table1457[[#This Row],[UCS_std_Soaked_7Days]]</f>
        <v>0</v>
      </c>
      <c r="O100" s="15" t="n">
        <v>0</v>
      </c>
      <c r="P100" s="14" t="n">
        <v>71.35</v>
      </c>
      <c r="Q100" s="14" t="n">
        <v>0</v>
      </c>
      <c r="R100" s="14" t="n">
        <v>71.35</v>
      </c>
      <c r="S100" s="19" t="s">
        <v>27</v>
      </c>
      <c r="AMH100" s="0"/>
      <c r="AMI100" s="0"/>
      <c r="AMJ100" s="0"/>
    </row>
    <row r="101" s="20" customFormat="true" ht="14.9" hidden="false" customHeight="false" outlineLevel="0" collapsed="false">
      <c r="A101" s="14"/>
      <c r="B101" s="15" t="s">
        <v>32</v>
      </c>
      <c r="C101" s="15" t="n">
        <v>0</v>
      </c>
      <c r="D101" s="16" t="n">
        <v>26.5</v>
      </c>
      <c r="E101" s="16" t="n">
        <v>33.1</v>
      </c>
      <c r="F101" s="16" t="n">
        <v>32.4</v>
      </c>
      <c r="G101" s="16" t="n">
        <f aca="false">Table1457[[#This Row],[Clay]]+Table1457[[#This Row],[Silt]]</f>
        <v>65.5</v>
      </c>
      <c r="H101" s="16" t="n">
        <f aca="false">100-Table1457[[#This Row],[Clay2]]-Table1457[[#This Row],[Sand]]</f>
        <v>8</v>
      </c>
      <c r="I101" s="16" t="n">
        <v>34.5</v>
      </c>
      <c r="J101" s="16" t="n">
        <v>18</v>
      </c>
      <c r="K101" s="16" t="n">
        <f aca="false">Table1457[[#This Row],[LL]]-Table1457[[#This Row],[PL]]</f>
        <v>16.5</v>
      </c>
      <c r="L101" s="15" t="n">
        <v>2</v>
      </c>
      <c r="M101" s="15"/>
      <c r="N101" s="17" t="n">
        <f aca="false">Table1457[[#This Row],[UCS_std_Soaked_7Days]]</f>
        <v>200.01</v>
      </c>
      <c r="O101" s="15" t="n">
        <v>200.01</v>
      </c>
      <c r="P101" s="14" t="n">
        <v>245.45</v>
      </c>
      <c r="Q101" s="14" t="n">
        <v>336.26</v>
      </c>
      <c r="R101" s="14" t="n">
        <v>391.35</v>
      </c>
      <c r="S101" s="19" t="s">
        <v>27</v>
      </c>
      <c r="AMH101" s="0"/>
      <c r="AMI101" s="0"/>
      <c r="AMJ101" s="0"/>
    </row>
    <row r="102" s="20" customFormat="true" ht="14.9" hidden="false" customHeight="false" outlineLevel="0" collapsed="false">
      <c r="A102" s="14"/>
      <c r="B102" s="15" t="s">
        <v>32</v>
      </c>
      <c r="C102" s="15" t="n">
        <v>0</v>
      </c>
      <c r="D102" s="16" t="n">
        <v>26.5</v>
      </c>
      <c r="E102" s="16" t="n">
        <v>33.1</v>
      </c>
      <c r="F102" s="16" t="n">
        <v>32.4</v>
      </c>
      <c r="G102" s="16" t="n">
        <f aca="false">Table1457[[#This Row],[Clay]]+Table1457[[#This Row],[Silt]]</f>
        <v>65.5</v>
      </c>
      <c r="H102" s="16" t="n">
        <f aca="false">100-Table1457[[#This Row],[Clay2]]-Table1457[[#This Row],[Sand]]</f>
        <v>8</v>
      </c>
      <c r="I102" s="16" t="n">
        <v>34.5</v>
      </c>
      <c r="J102" s="16" t="n">
        <v>18</v>
      </c>
      <c r="K102" s="16" t="n">
        <f aca="false">Table1457[[#This Row],[LL]]-Table1457[[#This Row],[PL]]</f>
        <v>16.5</v>
      </c>
      <c r="L102" s="15" t="n">
        <v>4</v>
      </c>
      <c r="M102" s="15"/>
      <c r="N102" s="17" t="n">
        <f aca="false">Table1457[[#This Row],[UCS_std_Soaked_7Days]]</f>
        <v>205.48</v>
      </c>
      <c r="O102" s="15" t="n">
        <v>205.48</v>
      </c>
      <c r="P102" s="14" t="n">
        <v>270.3</v>
      </c>
      <c r="Q102" s="14" t="n">
        <v>490.83</v>
      </c>
      <c r="R102" s="14" t="n">
        <v>578.43</v>
      </c>
      <c r="S102" s="19" t="s">
        <v>27</v>
      </c>
      <c r="AMH102" s="0"/>
      <c r="AMI102" s="0"/>
      <c r="AMJ102" s="0"/>
    </row>
    <row r="103" s="20" customFormat="true" ht="14.9" hidden="false" customHeight="false" outlineLevel="0" collapsed="false">
      <c r="A103" s="14"/>
      <c r="B103" s="15" t="s">
        <v>32</v>
      </c>
      <c r="C103" s="15" t="n">
        <v>0</v>
      </c>
      <c r="D103" s="16" t="n">
        <v>26.5</v>
      </c>
      <c r="E103" s="16" t="n">
        <v>33.1</v>
      </c>
      <c r="F103" s="16" t="n">
        <v>32.4</v>
      </c>
      <c r="G103" s="16" t="n">
        <f aca="false">Table1457[[#This Row],[Clay]]+Table1457[[#This Row],[Silt]]</f>
        <v>65.5</v>
      </c>
      <c r="H103" s="16" t="n">
        <f aca="false">100-Table1457[[#This Row],[Clay2]]-Table1457[[#This Row],[Sand]]</f>
        <v>8</v>
      </c>
      <c r="I103" s="16" t="n">
        <v>34.5</v>
      </c>
      <c r="J103" s="16" t="n">
        <v>18</v>
      </c>
      <c r="K103" s="16" t="n">
        <f aca="false">Table1457[[#This Row],[LL]]-Table1457[[#This Row],[PL]]</f>
        <v>16.5</v>
      </c>
      <c r="L103" s="15" t="n">
        <v>8</v>
      </c>
      <c r="M103" s="15"/>
      <c r="N103" s="17" t="n">
        <f aca="false">Table1457[[#This Row],[UCS_std_Soaked_7Days]]</f>
        <v>190.32</v>
      </c>
      <c r="O103" s="15" t="n">
        <v>190.32</v>
      </c>
      <c r="P103" s="14" t="n">
        <v>261.63</v>
      </c>
      <c r="Q103" s="14" t="n">
        <v>410.81</v>
      </c>
      <c r="R103" s="14" t="n">
        <v>501.65</v>
      </c>
      <c r="S103" s="19" t="s">
        <v>27</v>
      </c>
      <c r="AMH103" s="0"/>
      <c r="AMI103" s="0"/>
      <c r="AMJ103" s="0"/>
    </row>
    <row r="104" s="20" customFormat="true" ht="14.9" hidden="false" customHeight="false" outlineLevel="0" collapsed="false">
      <c r="A104" s="14"/>
      <c r="B104" s="15" t="s">
        <v>32</v>
      </c>
      <c r="C104" s="15" t="n">
        <v>0</v>
      </c>
      <c r="D104" s="16" t="n">
        <v>26.5</v>
      </c>
      <c r="E104" s="16" t="n">
        <v>33.1</v>
      </c>
      <c r="F104" s="16" t="n">
        <v>32.4</v>
      </c>
      <c r="G104" s="16" t="n">
        <f aca="false">Table1457[[#This Row],[Clay]]+Table1457[[#This Row],[Silt]]</f>
        <v>65.5</v>
      </c>
      <c r="H104" s="16" t="n">
        <f aca="false">100-Table1457[[#This Row],[Clay2]]-Table1457[[#This Row],[Sand]]</f>
        <v>8</v>
      </c>
      <c r="I104" s="16" t="n">
        <v>34.5</v>
      </c>
      <c r="J104" s="16" t="n">
        <v>18</v>
      </c>
      <c r="K104" s="16" t="n">
        <f aca="false">Table1457[[#This Row],[LL]]-Table1457[[#This Row],[PL]]</f>
        <v>16.5</v>
      </c>
      <c r="L104" s="15" t="n">
        <v>12</v>
      </c>
      <c r="M104" s="15"/>
      <c r="N104" s="17" t="n">
        <f aca="false">Table1457[[#This Row],[UCS_std_Soaked_7Days]]</f>
        <v>188.13</v>
      </c>
      <c r="O104" s="15" t="n">
        <v>188.13</v>
      </c>
      <c r="P104" s="14" t="n">
        <v>246.51</v>
      </c>
      <c r="Q104" s="14" t="n">
        <v>295.15</v>
      </c>
      <c r="R104" s="14" t="n">
        <v>415.15</v>
      </c>
      <c r="S104" s="19" t="s">
        <v>27</v>
      </c>
      <c r="AMH104" s="0"/>
      <c r="AMI104" s="0"/>
      <c r="AMJ104" s="0"/>
    </row>
    <row r="105" s="20" customFormat="true" ht="14.9" hidden="false" customHeight="false" outlineLevel="0" collapsed="false">
      <c r="A105" s="14" t="s">
        <v>49</v>
      </c>
      <c r="B105" s="15" t="s">
        <v>32</v>
      </c>
      <c r="C105" s="15" t="n">
        <v>0</v>
      </c>
      <c r="D105" s="16" t="n">
        <v>29.9</v>
      </c>
      <c r="E105" s="16" t="n">
        <v>31</v>
      </c>
      <c r="F105" s="16" t="n">
        <v>30</v>
      </c>
      <c r="G105" s="16" t="n">
        <f aca="false">Table1457[[#This Row],[Clay]]+Table1457[[#This Row],[Silt]]</f>
        <v>61</v>
      </c>
      <c r="H105" s="16" t="n">
        <f aca="false">100-Table1457[[#This Row],[Clay2]]-Table1457[[#This Row],[Sand]]</f>
        <v>9.1</v>
      </c>
      <c r="I105" s="16" t="n">
        <v>37</v>
      </c>
      <c r="J105" s="16" t="n">
        <v>19</v>
      </c>
      <c r="K105" s="16" t="n">
        <f aca="false">Table1457[[#This Row],[LL]]-Table1457[[#This Row],[PL]]</f>
        <v>18</v>
      </c>
      <c r="L105" s="15" t="n">
        <v>0</v>
      </c>
      <c r="M105" s="15"/>
      <c r="N105" s="17" t="n">
        <f aca="false">Table1457[[#This Row],[UCS_std_Soaked_7Days]]</f>
        <v>0</v>
      </c>
      <c r="O105" s="15" t="n">
        <v>0</v>
      </c>
      <c r="P105" s="14" t="n">
        <v>65.59</v>
      </c>
      <c r="Q105" s="14" t="n">
        <v>0</v>
      </c>
      <c r="R105" s="14" t="n">
        <v>65.59</v>
      </c>
      <c r="S105" s="19" t="s">
        <v>27</v>
      </c>
      <c r="AMH105" s="0"/>
      <c r="AMI105" s="0"/>
      <c r="AMJ105" s="0"/>
    </row>
    <row r="106" s="20" customFormat="true" ht="14.9" hidden="false" customHeight="false" outlineLevel="0" collapsed="false">
      <c r="A106" s="14"/>
      <c r="B106" s="15" t="s">
        <v>32</v>
      </c>
      <c r="C106" s="15" t="n">
        <v>0</v>
      </c>
      <c r="D106" s="16" t="n">
        <v>29.9</v>
      </c>
      <c r="E106" s="16" t="n">
        <v>31</v>
      </c>
      <c r="F106" s="16" t="n">
        <v>30</v>
      </c>
      <c r="G106" s="16" t="n">
        <f aca="false">Table1457[[#This Row],[Clay]]+Table1457[[#This Row],[Silt]]</f>
        <v>61</v>
      </c>
      <c r="H106" s="16" t="n">
        <f aca="false">100-Table1457[[#This Row],[Clay2]]-Table1457[[#This Row],[Sand]]</f>
        <v>9.1</v>
      </c>
      <c r="I106" s="16" t="n">
        <v>37</v>
      </c>
      <c r="J106" s="16" t="n">
        <v>19</v>
      </c>
      <c r="K106" s="16" t="n">
        <f aca="false">Table1457[[#This Row],[LL]]-Table1457[[#This Row],[PL]]</f>
        <v>18</v>
      </c>
      <c r="L106" s="15" t="n">
        <v>2</v>
      </c>
      <c r="M106" s="15"/>
      <c r="N106" s="17" t="n">
        <f aca="false">Table1457[[#This Row],[UCS_std_Soaked_7Days]]</f>
        <v>176.51</v>
      </c>
      <c r="O106" s="15" t="n">
        <v>176.51</v>
      </c>
      <c r="P106" s="14" t="n">
        <v>245.36</v>
      </c>
      <c r="Q106" s="14" t="n">
        <v>186.36</v>
      </c>
      <c r="R106" s="14" t="n">
        <v>320.78</v>
      </c>
      <c r="S106" s="19" t="s">
        <v>27</v>
      </c>
      <c r="AMH106" s="0"/>
      <c r="AMI106" s="0"/>
      <c r="AMJ106" s="0"/>
    </row>
    <row r="107" s="20" customFormat="true" ht="14.9" hidden="false" customHeight="false" outlineLevel="0" collapsed="false">
      <c r="A107" s="14"/>
      <c r="B107" s="15" t="s">
        <v>32</v>
      </c>
      <c r="C107" s="15" t="n">
        <v>0</v>
      </c>
      <c r="D107" s="16" t="n">
        <v>29.9</v>
      </c>
      <c r="E107" s="16" t="n">
        <v>31</v>
      </c>
      <c r="F107" s="16" t="n">
        <v>30</v>
      </c>
      <c r="G107" s="16" t="n">
        <f aca="false">Table1457[[#This Row],[Clay]]+Table1457[[#This Row],[Silt]]</f>
        <v>61</v>
      </c>
      <c r="H107" s="16" t="n">
        <f aca="false">100-Table1457[[#This Row],[Clay2]]-Table1457[[#This Row],[Sand]]</f>
        <v>9.1</v>
      </c>
      <c r="I107" s="16" t="n">
        <v>37</v>
      </c>
      <c r="J107" s="16" t="n">
        <v>19</v>
      </c>
      <c r="K107" s="16" t="n">
        <f aca="false">Table1457[[#This Row],[LL]]-Table1457[[#This Row],[PL]]</f>
        <v>18</v>
      </c>
      <c r="L107" s="15" t="n">
        <v>4</v>
      </c>
      <c r="M107" s="15"/>
      <c r="N107" s="17" t="n">
        <f aca="false">Table1457[[#This Row],[UCS_std_Soaked_7Days]]</f>
        <v>310.37</v>
      </c>
      <c r="O107" s="15" t="n">
        <v>310.37</v>
      </c>
      <c r="P107" s="14" t="n">
        <v>343.18</v>
      </c>
      <c r="Q107" s="14" t="n">
        <v>562.84</v>
      </c>
      <c r="R107" s="14" t="n">
        <v>634.97</v>
      </c>
      <c r="S107" s="19" t="s">
        <v>27</v>
      </c>
      <c r="AMH107" s="0"/>
      <c r="AMI107" s="0"/>
      <c r="AMJ107" s="0"/>
    </row>
    <row r="108" s="20" customFormat="true" ht="14.9" hidden="false" customHeight="false" outlineLevel="0" collapsed="false">
      <c r="A108" s="14"/>
      <c r="B108" s="15" t="s">
        <v>32</v>
      </c>
      <c r="C108" s="15" t="n">
        <v>0</v>
      </c>
      <c r="D108" s="16" t="n">
        <v>29.9</v>
      </c>
      <c r="E108" s="16" t="n">
        <v>31</v>
      </c>
      <c r="F108" s="16" t="n">
        <v>30</v>
      </c>
      <c r="G108" s="16" t="n">
        <f aca="false">Table1457[[#This Row],[Clay]]+Table1457[[#This Row],[Silt]]</f>
        <v>61</v>
      </c>
      <c r="H108" s="16" t="n">
        <f aca="false">100-Table1457[[#This Row],[Clay2]]-Table1457[[#This Row],[Sand]]</f>
        <v>9.1</v>
      </c>
      <c r="I108" s="16" t="n">
        <v>37</v>
      </c>
      <c r="J108" s="16" t="n">
        <v>19</v>
      </c>
      <c r="K108" s="16" t="n">
        <f aca="false">Table1457[[#This Row],[LL]]-Table1457[[#This Row],[PL]]</f>
        <v>18</v>
      </c>
      <c r="L108" s="15" t="n">
        <v>8</v>
      </c>
      <c r="M108" s="15"/>
      <c r="N108" s="17" t="n">
        <f aca="false">Table1457[[#This Row],[UCS_std_Soaked_7Days]]</f>
        <v>267.22</v>
      </c>
      <c r="O108" s="15" t="n">
        <v>267.22</v>
      </c>
      <c r="P108" s="14" t="n">
        <v>342.61</v>
      </c>
      <c r="Q108" s="14" t="n">
        <v>611.47</v>
      </c>
      <c r="R108" s="14" t="n">
        <v>726.23</v>
      </c>
      <c r="S108" s="19" t="s">
        <v>27</v>
      </c>
      <c r="AMH108" s="0"/>
      <c r="AMI108" s="0"/>
      <c r="AMJ108" s="0"/>
    </row>
    <row r="109" s="20" customFormat="true" ht="14.9" hidden="false" customHeight="false" outlineLevel="0" collapsed="false">
      <c r="A109" s="14"/>
      <c r="B109" s="15" t="s">
        <v>32</v>
      </c>
      <c r="C109" s="15" t="n">
        <v>0</v>
      </c>
      <c r="D109" s="16" t="n">
        <v>29.9</v>
      </c>
      <c r="E109" s="16" t="n">
        <v>31</v>
      </c>
      <c r="F109" s="16" t="n">
        <v>30</v>
      </c>
      <c r="G109" s="16" t="n">
        <f aca="false">Table1457[[#This Row],[Clay]]+Table1457[[#This Row],[Silt]]</f>
        <v>61</v>
      </c>
      <c r="H109" s="16" t="n">
        <f aca="false">100-Table1457[[#This Row],[Clay2]]-Table1457[[#This Row],[Sand]]</f>
        <v>9.1</v>
      </c>
      <c r="I109" s="16" t="n">
        <v>37</v>
      </c>
      <c r="J109" s="16" t="n">
        <v>19</v>
      </c>
      <c r="K109" s="16" t="n">
        <f aca="false">Table1457[[#This Row],[LL]]-Table1457[[#This Row],[PL]]</f>
        <v>18</v>
      </c>
      <c r="L109" s="15" t="n">
        <v>12</v>
      </c>
      <c r="M109" s="15"/>
      <c r="N109" s="17" t="n">
        <f aca="false">Table1457[[#This Row],[UCS_std_Soaked_7Days]]</f>
        <v>245.89</v>
      </c>
      <c r="O109" s="15" t="n">
        <v>245.89</v>
      </c>
      <c r="P109" s="14" t="n">
        <v>318.04</v>
      </c>
      <c r="Q109" s="14" t="n">
        <v>426.25</v>
      </c>
      <c r="R109" s="14" t="n">
        <v>521.29</v>
      </c>
      <c r="S109" s="19" t="s">
        <v>27</v>
      </c>
      <c r="AMH109" s="0"/>
      <c r="AMI109" s="0"/>
      <c r="AMJ109" s="0"/>
    </row>
    <row r="110" s="20" customFormat="true" ht="14.9" hidden="false" customHeight="false" outlineLevel="0" collapsed="false">
      <c r="A110" s="14" t="s">
        <v>50</v>
      </c>
      <c r="B110" s="14" t="s">
        <v>51</v>
      </c>
      <c r="C110" s="15" t="n">
        <v>0</v>
      </c>
      <c r="D110" s="16" t="n">
        <v>41.2</v>
      </c>
      <c r="E110" s="16" t="n">
        <v>30.2</v>
      </c>
      <c r="F110" s="16" t="n">
        <v>18.6</v>
      </c>
      <c r="G110" s="16" t="n">
        <f aca="false">Table1457[[#This Row],[Clay]]+Table1457[[#This Row],[Silt]]</f>
        <v>48.8</v>
      </c>
      <c r="H110" s="16" t="n">
        <f aca="false">100-Table1457[[#This Row],[Clay2]]-Table1457[[#This Row],[Sand]]</f>
        <v>10</v>
      </c>
      <c r="I110" s="16" t="n">
        <v>24</v>
      </c>
      <c r="J110" s="16" t="n">
        <v>14.5</v>
      </c>
      <c r="K110" s="16" t="n">
        <f aca="false">Table1457[[#This Row],[LL]]-Table1457[[#This Row],[PL]]</f>
        <v>9.5</v>
      </c>
      <c r="L110" s="15" t="n">
        <v>0</v>
      </c>
      <c r="M110" s="15"/>
      <c r="N110" s="17" t="n">
        <f aca="false">Table1457[[#This Row],[UCS_std_Soaked_7Days]]</f>
        <v>0</v>
      </c>
      <c r="O110" s="15" t="n">
        <v>0</v>
      </c>
      <c r="P110" s="14" t="n">
        <v>38.94</v>
      </c>
      <c r="Q110" s="14" t="n">
        <v>0</v>
      </c>
      <c r="R110" s="14" t="n">
        <v>38.94</v>
      </c>
      <c r="S110" s="19" t="s">
        <v>27</v>
      </c>
      <c r="AMH110" s="0"/>
      <c r="AMI110" s="0"/>
      <c r="AMJ110" s="0"/>
    </row>
    <row r="111" s="20" customFormat="true" ht="14.9" hidden="false" customHeight="false" outlineLevel="0" collapsed="false">
      <c r="A111" s="14"/>
      <c r="B111" s="14" t="s">
        <v>51</v>
      </c>
      <c r="C111" s="15" t="n">
        <v>0</v>
      </c>
      <c r="D111" s="16" t="n">
        <v>41.2</v>
      </c>
      <c r="E111" s="16" t="n">
        <v>30.2</v>
      </c>
      <c r="F111" s="16" t="n">
        <v>18.6</v>
      </c>
      <c r="G111" s="16" t="n">
        <f aca="false">Table1457[[#This Row],[Clay]]+Table1457[[#This Row],[Silt]]</f>
        <v>48.8</v>
      </c>
      <c r="H111" s="16" t="n">
        <f aca="false">100-Table1457[[#This Row],[Clay2]]-Table1457[[#This Row],[Sand]]</f>
        <v>10</v>
      </c>
      <c r="I111" s="16" t="n">
        <v>24</v>
      </c>
      <c r="J111" s="16" t="n">
        <v>14.5</v>
      </c>
      <c r="K111" s="16" t="n">
        <f aca="false">Table1457[[#This Row],[LL]]-Table1457[[#This Row],[PL]]</f>
        <v>9.5</v>
      </c>
      <c r="L111" s="15" t="n">
        <v>2</v>
      </c>
      <c r="M111" s="15"/>
      <c r="N111" s="17" t="n">
        <f aca="false">Table1457[[#This Row],[UCS_std_Soaked_7Days]]</f>
        <v>203.8</v>
      </c>
      <c r="O111" s="15" t="n">
        <v>203.8</v>
      </c>
      <c r="P111" s="14" t="n">
        <v>245.94</v>
      </c>
      <c r="Q111" s="14" t="n">
        <v>245.94</v>
      </c>
      <c r="R111" s="14" t="n">
        <v>245.94</v>
      </c>
      <c r="S111" s="19" t="s">
        <v>27</v>
      </c>
      <c r="AMH111" s="0"/>
      <c r="AMI111" s="0"/>
      <c r="AMJ111" s="0"/>
    </row>
    <row r="112" s="20" customFormat="true" ht="14.9" hidden="false" customHeight="false" outlineLevel="0" collapsed="false">
      <c r="A112" s="14"/>
      <c r="B112" s="14" t="s">
        <v>51</v>
      </c>
      <c r="C112" s="15" t="n">
        <v>0</v>
      </c>
      <c r="D112" s="16" t="n">
        <v>41.2</v>
      </c>
      <c r="E112" s="16" t="n">
        <v>30.2</v>
      </c>
      <c r="F112" s="16" t="n">
        <v>18.6</v>
      </c>
      <c r="G112" s="16" t="n">
        <f aca="false">Table1457[[#This Row],[Clay]]+Table1457[[#This Row],[Silt]]</f>
        <v>48.8</v>
      </c>
      <c r="H112" s="16" t="n">
        <f aca="false">100-Table1457[[#This Row],[Clay2]]-Table1457[[#This Row],[Sand]]</f>
        <v>10</v>
      </c>
      <c r="I112" s="16" t="n">
        <v>24</v>
      </c>
      <c r="J112" s="16" t="n">
        <v>14.5</v>
      </c>
      <c r="K112" s="16" t="n">
        <f aca="false">Table1457[[#This Row],[LL]]-Table1457[[#This Row],[PL]]</f>
        <v>9.5</v>
      </c>
      <c r="L112" s="15" t="n">
        <v>4</v>
      </c>
      <c r="M112" s="15"/>
      <c r="N112" s="17" t="n">
        <f aca="false">Table1457[[#This Row],[UCS_std_Soaked_7Days]]</f>
        <v>255.14</v>
      </c>
      <c r="O112" s="15" t="n">
        <v>255.14</v>
      </c>
      <c r="P112" s="14" t="n">
        <v>320</v>
      </c>
      <c r="Q112" s="14" t="n">
        <v>501.64</v>
      </c>
      <c r="R112" s="14" t="n">
        <v>521.08</v>
      </c>
      <c r="S112" s="19" t="s">
        <v>27</v>
      </c>
      <c r="AMH112" s="0"/>
      <c r="AMI112" s="0"/>
      <c r="AMJ112" s="0"/>
    </row>
    <row r="113" s="20" customFormat="true" ht="14.9" hidden="false" customHeight="false" outlineLevel="0" collapsed="false">
      <c r="A113" s="14"/>
      <c r="B113" s="14" t="s">
        <v>51</v>
      </c>
      <c r="C113" s="15" t="n">
        <v>0</v>
      </c>
      <c r="D113" s="16" t="n">
        <v>41.2</v>
      </c>
      <c r="E113" s="16" t="n">
        <v>30.2</v>
      </c>
      <c r="F113" s="16" t="n">
        <v>18.6</v>
      </c>
      <c r="G113" s="16" t="n">
        <f aca="false">Table1457[[#This Row],[Clay]]+Table1457[[#This Row],[Silt]]</f>
        <v>48.8</v>
      </c>
      <c r="H113" s="16" t="n">
        <f aca="false">100-Table1457[[#This Row],[Clay2]]-Table1457[[#This Row],[Sand]]</f>
        <v>10</v>
      </c>
      <c r="I113" s="16" t="n">
        <v>24</v>
      </c>
      <c r="J113" s="16" t="n">
        <v>14.5</v>
      </c>
      <c r="K113" s="16" t="n">
        <f aca="false">Table1457[[#This Row],[LL]]-Table1457[[#This Row],[PL]]</f>
        <v>9.5</v>
      </c>
      <c r="L113" s="15" t="n">
        <v>8</v>
      </c>
      <c r="M113" s="15"/>
      <c r="N113" s="17" t="n">
        <f aca="false">Table1457[[#This Row],[UCS_std_Soaked_7Days]]</f>
        <v>241.08</v>
      </c>
      <c r="O113" s="15" t="n">
        <v>241.08</v>
      </c>
      <c r="P113" s="14" t="n">
        <v>280</v>
      </c>
      <c r="Q113" s="14" t="n">
        <v>464.87</v>
      </c>
      <c r="R113" s="14" t="n">
        <v>481.08</v>
      </c>
      <c r="S113" s="19" t="s">
        <v>27</v>
      </c>
      <c r="AMH113" s="0"/>
      <c r="AMI113" s="0"/>
      <c r="AMJ113" s="0"/>
    </row>
    <row r="114" s="20" customFormat="true" ht="14.9" hidden="false" customHeight="false" outlineLevel="0" collapsed="false">
      <c r="A114" s="14"/>
      <c r="B114" s="15" t="s">
        <v>51</v>
      </c>
      <c r="C114" s="15" t="n">
        <v>0</v>
      </c>
      <c r="D114" s="16" t="n">
        <v>41.2</v>
      </c>
      <c r="E114" s="16" t="n">
        <v>30.2</v>
      </c>
      <c r="F114" s="16" t="n">
        <v>18.6</v>
      </c>
      <c r="G114" s="16" t="n">
        <f aca="false">Table1457[[#This Row],[Clay]]+Table1457[[#This Row],[Silt]]</f>
        <v>48.8</v>
      </c>
      <c r="H114" s="16" t="n">
        <f aca="false">100-Table1457[[#This Row],[Clay2]]-Table1457[[#This Row],[Sand]]</f>
        <v>10</v>
      </c>
      <c r="I114" s="16" t="n">
        <v>24</v>
      </c>
      <c r="J114" s="16" t="n">
        <v>14.5</v>
      </c>
      <c r="K114" s="16" t="n">
        <f aca="false">Table1457[[#This Row],[LL]]-Table1457[[#This Row],[PL]]</f>
        <v>9.5</v>
      </c>
      <c r="L114" s="15" t="n">
        <v>12</v>
      </c>
      <c r="M114" s="15"/>
      <c r="N114" s="17" t="n">
        <f aca="false">Table1457[[#This Row],[UCS_std_Soaked_7Days]]</f>
        <v>204.34</v>
      </c>
      <c r="O114" s="15" t="n">
        <v>204.34</v>
      </c>
      <c r="P114" s="14" t="n">
        <v>265.98</v>
      </c>
      <c r="Q114" s="14" t="n">
        <v>411.89</v>
      </c>
      <c r="R114" s="14" t="n">
        <v>473.51</v>
      </c>
      <c r="S114" s="19" t="s">
        <v>27</v>
      </c>
      <c r="AMH114" s="0"/>
      <c r="AMI114" s="0"/>
      <c r="AMJ114" s="0"/>
    </row>
    <row r="115" s="28" customFormat="true" ht="15" hidden="false" customHeight="true" outlineLevel="0" collapsed="false">
      <c r="A115" s="21" t="s">
        <v>52</v>
      </c>
      <c r="B115" s="21" t="s">
        <v>53</v>
      </c>
      <c r="C115" s="21" t="n">
        <v>0.16</v>
      </c>
      <c r="D115" s="22" t="n">
        <v>70.7</v>
      </c>
      <c r="E115" s="23" t="n">
        <v>22.3</v>
      </c>
      <c r="F115" s="23" t="n">
        <v>7</v>
      </c>
      <c r="G115" s="23" t="n">
        <f aca="false">Table1457[[#This Row],[Clay]]+Table1457[[#This Row],[Silt]]</f>
        <v>29.3</v>
      </c>
      <c r="H115" s="23" t="n">
        <f aca="false">100-Table1457[[#This Row],[Clay2]]-Table1457[[#This Row],[Sand]]</f>
        <v>0</v>
      </c>
      <c r="I115" s="23" t="n">
        <v>18.9</v>
      </c>
      <c r="J115" s="23" t="n">
        <v>16.4</v>
      </c>
      <c r="K115" s="23" t="n">
        <f aca="false">Table1457[[#This Row],[LL]]-Table1457[[#This Row],[PL]]</f>
        <v>2.5</v>
      </c>
      <c r="L115" s="24"/>
      <c r="M115" s="24" t="n">
        <v>0</v>
      </c>
      <c r="N115" s="25" t="n">
        <f aca="false">Table1457[[#This Row],[UCS_std_Soaked_7Days]]</f>
        <v>0</v>
      </c>
      <c r="O115" s="24" t="n">
        <v>0</v>
      </c>
      <c r="P115" s="26"/>
      <c r="Q115" s="21" t="n">
        <v>0</v>
      </c>
      <c r="R115" s="21"/>
      <c r="S115" s="27" t="s">
        <v>54</v>
      </c>
      <c r="AMH115" s="0"/>
      <c r="AMI115" s="0"/>
      <c r="AMJ115" s="0"/>
    </row>
    <row r="116" s="28" customFormat="true" ht="14.9" hidden="false" customHeight="false" outlineLevel="0" collapsed="false">
      <c r="A116" s="21"/>
      <c r="B116" s="21" t="s">
        <v>53</v>
      </c>
      <c r="C116" s="21" t="n">
        <v>0.16</v>
      </c>
      <c r="D116" s="22" t="n">
        <v>70.7</v>
      </c>
      <c r="E116" s="23" t="n">
        <v>22.3</v>
      </c>
      <c r="F116" s="23" t="n">
        <v>7</v>
      </c>
      <c r="G116" s="23" t="n">
        <f aca="false">Table1457[[#This Row],[Clay]]+Table1457[[#This Row],[Silt]]</f>
        <v>29.3</v>
      </c>
      <c r="H116" s="23" t="n">
        <f aca="false">100-Table1457[[#This Row],[Clay2]]-Table1457[[#This Row],[Sand]]</f>
        <v>0</v>
      </c>
      <c r="I116" s="23" t="n">
        <v>18.9</v>
      </c>
      <c r="J116" s="23" t="n">
        <v>16.4</v>
      </c>
      <c r="K116" s="23" t="n">
        <f aca="false">Table1457[[#This Row],[LL]]-Table1457[[#This Row],[PL]]</f>
        <v>2.5</v>
      </c>
      <c r="L116" s="24"/>
      <c r="M116" s="24" t="n">
        <v>4</v>
      </c>
      <c r="N116" s="25" t="n">
        <f aca="false">Table1457[[#This Row],[UCS_std_Soaked_7Days]]</f>
        <v>230.78</v>
      </c>
      <c r="O116" s="24" t="n">
        <v>230.78</v>
      </c>
      <c r="P116" s="26"/>
      <c r="Q116" s="21" t="n">
        <v>269.49</v>
      </c>
      <c r="R116" s="21"/>
      <c r="S116" s="27" t="s">
        <v>54</v>
      </c>
      <c r="AMH116" s="0"/>
      <c r="AMI116" s="0"/>
      <c r="AMJ116" s="0"/>
    </row>
    <row r="117" s="28" customFormat="true" ht="14.9" hidden="false" customHeight="false" outlineLevel="0" collapsed="false">
      <c r="A117" s="21"/>
      <c r="B117" s="21" t="s">
        <v>53</v>
      </c>
      <c r="C117" s="21" t="n">
        <v>0.16</v>
      </c>
      <c r="D117" s="22" t="n">
        <v>70.7</v>
      </c>
      <c r="E117" s="23" t="n">
        <v>22.3</v>
      </c>
      <c r="F117" s="23" t="n">
        <v>7</v>
      </c>
      <c r="G117" s="23" t="n">
        <f aca="false">Table1457[[#This Row],[Clay]]+Table1457[[#This Row],[Silt]]</f>
        <v>29.3</v>
      </c>
      <c r="H117" s="23" t="n">
        <f aca="false">100-Table1457[[#This Row],[Clay2]]-Table1457[[#This Row],[Sand]]</f>
        <v>0</v>
      </c>
      <c r="I117" s="23" t="n">
        <v>18.9</v>
      </c>
      <c r="J117" s="23" t="n">
        <v>16.4</v>
      </c>
      <c r="K117" s="23" t="n">
        <f aca="false">Table1457[[#This Row],[LL]]-Table1457[[#This Row],[PL]]</f>
        <v>2.5</v>
      </c>
      <c r="L117" s="24"/>
      <c r="M117" s="24" t="n">
        <v>6</v>
      </c>
      <c r="N117" s="25" t="n">
        <f aca="false">Table1457[[#This Row],[UCS_std_Soaked_7Days]]</f>
        <v>369.69</v>
      </c>
      <c r="O117" s="24" t="n">
        <v>369.69</v>
      </c>
      <c r="P117" s="26"/>
      <c r="Q117" s="21" t="n">
        <v>547.41</v>
      </c>
      <c r="R117" s="21"/>
      <c r="S117" s="27" t="s">
        <v>54</v>
      </c>
      <c r="AMH117" s="0"/>
      <c r="AMI117" s="0"/>
      <c r="AMJ117" s="0"/>
    </row>
    <row r="118" s="28" customFormat="true" ht="14.9" hidden="false" customHeight="false" outlineLevel="0" collapsed="false">
      <c r="A118" s="21"/>
      <c r="B118" s="21" t="s">
        <v>53</v>
      </c>
      <c r="C118" s="21" t="n">
        <v>0.16</v>
      </c>
      <c r="D118" s="22" t="n">
        <v>70.7</v>
      </c>
      <c r="E118" s="23" t="n">
        <v>22.3</v>
      </c>
      <c r="F118" s="23" t="n">
        <v>7</v>
      </c>
      <c r="G118" s="23" t="n">
        <f aca="false">Table1457[[#This Row],[Clay]]+Table1457[[#This Row],[Silt]]</f>
        <v>29.3</v>
      </c>
      <c r="H118" s="23" t="n">
        <f aca="false">100-Table1457[[#This Row],[Clay2]]-Table1457[[#This Row],[Sand]]</f>
        <v>0</v>
      </c>
      <c r="I118" s="23" t="n">
        <v>18.9</v>
      </c>
      <c r="J118" s="23" t="n">
        <v>16.4</v>
      </c>
      <c r="K118" s="23" t="n">
        <f aca="false">Table1457[[#This Row],[LL]]-Table1457[[#This Row],[PL]]</f>
        <v>2.5</v>
      </c>
      <c r="L118" s="24"/>
      <c r="M118" s="24" t="n">
        <v>8</v>
      </c>
      <c r="N118" s="25" t="n">
        <f aca="false">Table1457[[#This Row],[UCS_std_Soaked_7Days]]</f>
        <v>571.2</v>
      </c>
      <c r="O118" s="24" t="n">
        <v>571.2</v>
      </c>
      <c r="P118" s="21"/>
      <c r="Q118" s="21" t="n">
        <v>909.9</v>
      </c>
      <c r="R118" s="21"/>
      <c r="S118" s="27" t="s">
        <v>54</v>
      </c>
      <c r="AMH118" s="0"/>
      <c r="AMI118" s="0"/>
      <c r="AMJ118" s="0"/>
    </row>
    <row r="119" s="28" customFormat="true" ht="14.9" hidden="false" customHeight="false" outlineLevel="0" collapsed="false">
      <c r="A119" s="21"/>
      <c r="B119" s="21" t="s">
        <v>53</v>
      </c>
      <c r="C119" s="21" t="n">
        <v>0.16</v>
      </c>
      <c r="D119" s="22" t="n">
        <v>70.7</v>
      </c>
      <c r="E119" s="23" t="n">
        <v>22.3</v>
      </c>
      <c r="F119" s="23" t="n">
        <v>7</v>
      </c>
      <c r="G119" s="23" t="n">
        <f aca="false">Table1457[[#This Row],[Clay]]+Table1457[[#This Row],[Silt]]</f>
        <v>29.3</v>
      </c>
      <c r="H119" s="23" t="n">
        <f aca="false">100-Table1457[[#This Row],[Clay2]]-Table1457[[#This Row],[Sand]]</f>
        <v>0</v>
      </c>
      <c r="I119" s="23" t="n">
        <v>18.9</v>
      </c>
      <c r="J119" s="23" t="n">
        <v>16.4</v>
      </c>
      <c r="K119" s="23" t="n">
        <f aca="false">Table1457[[#This Row],[LL]]-Table1457[[#This Row],[PL]]</f>
        <v>2.5</v>
      </c>
      <c r="L119" s="24"/>
      <c r="M119" s="24" t="n">
        <v>10</v>
      </c>
      <c r="N119" s="25" t="n">
        <f aca="false">Table1457[[#This Row],[UCS_std_Soaked_7Days]]</f>
        <v>661.59</v>
      </c>
      <c r="O119" s="24" t="n">
        <v>661.59</v>
      </c>
      <c r="P119" s="21"/>
      <c r="Q119" s="21" t="n">
        <v>1046.95</v>
      </c>
      <c r="R119" s="21"/>
      <c r="S119" s="27" t="s">
        <v>54</v>
      </c>
      <c r="AMH119" s="0"/>
      <c r="AMI119" s="0"/>
      <c r="AMJ119" s="0"/>
    </row>
    <row r="120" s="28" customFormat="true" ht="14.9" hidden="false" customHeight="false" outlineLevel="0" collapsed="false">
      <c r="A120" s="21" t="s">
        <v>55</v>
      </c>
      <c r="B120" s="21" t="s">
        <v>39</v>
      </c>
      <c r="C120" s="21" t="n">
        <v>0.17</v>
      </c>
      <c r="D120" s="22" t="n">
        <v>0.4</v>
      </c>
      <c r="E120" s="22" t="n">
        <v>80</v>
      </c>
      <c r="F120" s="23" t="n">
        <v>19.6</v>
      </c>
      <c r="G120" s="23" t="n">
        <f aca="false">Table1457[[#This Row],[Clay]]+Table1457[[#This Row],[Silt]]</f>
        <v>99.6</v>
      </c>
      <c r="H120" s="23" t="n">
        <f aca="false">100-Table1457[[#This Row],[Clay2]]-Table1457[[#This Row],[Sand]]</f>
        <v>5.6621374255883E-015</v>
      </c>
      <c r="I120" s="23" t="n">
        <v>30.8</v>
      </c>
      <c r="J120" s="23" t="n">
        <v>24.6</v>
      </c>
      <c r="K120" s="23" t="n">
        <f aca="false">Table1457[[#This Row],[LL]]-Table1457[[#This Row],[PL]]</f>
        <v>6.2</v>
      </c>
      <c r="L120" s="24"/>
      <c r="M120" s="24" t="n">
        <v>0</v>
      </c>
      <c r="N120" s="25" t="n">
        <f aca="false">Table1457[[#This Row],[UCS_std_Soaked_7Days]]</f>
        <v>0</v>
      </c>
      <c r="O120" s="24" t="n">
        <v>0</v>
      </c>
      <c r="P120" s="21"/>
      <c r="Q120" s="21" t="n">
        <v>0</v>
      </c>
      <c r="R120" s="21"/>
      <c r="S120" s="27" t="s">
        <v>54</v>
      </c>
      <c r="AMH120" s="0"/>
      <c r="AMI120" s="0"/>
      <c r="AMJ120" s="0"/>
    </row>
    <row r="121" s="28" customFormat="true" ht="14.9" hidden="false" customHeight="false" outlineLevel="0" collapsed="false">
      <c r="A121" s="21"/>
      <c r="B121" s="21" t="s">
        <v>39</v>
      </c>
      <c r="C121" s="21" t="n">
        <v>0.17</v>
      </c>
      <c r="D121" s="22" t="n">
        <v>0.4</v>
      </c>
      <c r="E121" s="22" t="n">
        <v>80</v>
      </c>
      <c r="F121" s="23" t="n">
        <v>19.6</v>
      </c>
      <c r="G121" s="23" t="n">
        <f aca="false">Table1457[[#This Row],[Clay]]+Table1457[[#This Row],[Silt]]</f>
        <v>99.6</v>
      </c>
      <c r="H121" s="23" t="n">
        <f aca="false">100-Table1457[[#This Row],[Clay2]]-Table1457[[#This Row],[Sand]]</f>
        <v>5.6621374255883E-015</v>
      </c>
      <c r="I121" s="23" t="n">
        <v>30.8</v>
      </c>
      <c r="J121" s="23" t="n">
        <v>24.6</v>
      </c>
      <c r="K121" s="23" t="n">
        <f aca="false">Table1457[[#This Row],[LL]]-Table1457[[#This Row],[PL]]</f>
        <v>6.2</v>
      </c>
      <c r="L121" s="24"/>
      <c r="M121" s="24" t="n">
        <v>4</v>
      </c>
      <c r="N121" s="25" t="n">
        <f aca="false">Table1457[[#This Row],[UCS_std_Soaked_7Days]]</f>
        <v>192.94</v>
      </c>
      <c r="O121" s="24" t="n">
        <v>192.94</v>
      </c>
      <c r="P121" s="21"/>
      <c r="Q121" s="21" t="n">
        <v>293.63</v>
      </c>
      <c r="R121" s="21"/>
      <c r="S121" s="27" t="s">
        <v>54</v>
      </c>
      <c r="AMH121" s="0"/>
      <c r="AMI121" s="0"/>
      <c r="AMJ121" s="0"/>
    </row>
    <row r="122" s="28" customFormat="true" ht="14.9" hidden="false" customHeight="false" outlineLevel="0" collapsed="false">
      <c r="A122" s="21"/>
      <c r="B122" s="21" t="s">
        <v>39</v>
      </c>
      <c r="C122" s="21" t="n">
        <v>0.17</v>
      </c>
      <c r="D122" s="22" t="n">
        <v>0.4</v>
      </c>
      <c r="E122" s="22" t="n">
        <v>80</v>
      </c>
      <c r="F122" s="23" t="n">
        <v>19.6</v>
      </c>
      <c r="G122" s="23" t="n">
        <f aca="false">Table1457[[#This Row],[Clay]]+Table1457[[#This Row],[Silt]]</f>
        <v>99.6</v>
      </c>
      <c r="H122" s="23" t="n">
        <f aca="false">100-Table1457[[#This Row],[Clay2]]-Table1457[[#This Row],[Sand]]</f>
        <v>5.6621374255883E-015</v>
      </c>
      <c r="I122" s="23" t="n">
        <v>30.8</v>
      </c>
      <c r="J122" s="23" t="n">
        <v>24.6</v>
      </c>
      <c r="K122" s="23" t="n">
        <f aca="false">Table1457[[#This Row],[LL]]-Table1457[[#This Row],[PL]]</f>
        <v>6.2</v>
      </c>
      <c r="L122" s="24"/>
      <c r="M122" s="24" t="n">
        <v>6</v>
      </c>
      <c r="N122" s="25" t="n">
        <f aca="false">Table1457[[#This Row],[UCS_std_Soaked_7Days]]</f>
        <v>240</v>
      </c>
      <c r="O122" s="24" t="n">
        <v>240</v>
      </c>
      <c r="P122" s="21"/>
      <c r="Q122" s="21" t="n">
        <v>379.32</v>
      </c>
      <c r="R122" s="21"/>
      <c r="S122" s="27" t="s">
        <v>54</v>
      </c>
      <c r="AMH122" s="0"/>
      <c r="AMI122" s="0"/>
      <c r="AMJ122" s="0"/>
    </row>
    <row r="123" s="28" customFormat="true" ht="14.9" hidden="false" customHeight="false" outlineLevel="0" collapsed="false">
      <c r="A123" s="21"/>
      <c r="B123" s="21" t="s">
        <v>39</v>
      </c>
      <c r="C123" s="21" t="n">
        <v>0.17</v>
      </c>
      <c r="D123" s="22" t="n">
        <v>0.4</v>
      </c>
      <c r="E123" s="22" t="n">
        <v>80</v>
      </c>
      <c r="F123" s="23" t="n">
        <v>19.6</v>
      </c>
      <c r="G123" s="23" t="n">
        <f aca="false">Table1457[[#This Row],[Clay]]+Table1457[[#This Row],[Silt]]</f>
        <v>99.6</v>
      </c>
      <c r="H123" s="23" t="n">
        <f aca="false">100-Table1457[[#This Row],[Clay2]]-Table1457[[#This Row],[Sand]]</f>
        <v>5.6621374255883E-015</v>
      </c>
      <c r="I123" s="23" t="n">
        <v>30.8</v>
      </c>
      <c r="J123" s="23" t="n">
        <v>24.6</v>
      </c>
      <c r="K123" s="23" t="n">
        <f aca="false">Table1457[[#This Row],[LL]]-Table1457[[#This Row],[PL]]</f>
        <v>6.2</v>
      </c>
      <c r="L123" s="24"/>
      <c r="M123" s="24" t="n">
        <v>8</v>
      </c>
      <c r="N123" s="25" t="n">
        <f aca="false">Table1457[[#This Row],[UCS_std_Soaked_7Days]]</f>
        <v>320</v>
      </c>
      <c r="O123" s="24" t="n">
        <v>320</v>
      </c>
      <c r="P123" s="21"/>
      <c r="Q123" s="21" t="n">
        <v>460.23</v>
      </c>
      <c r="R123" s="21"/>
      <c r="S123" s="27" t="s">
        <v>54</v>
      </c>
      <c r="AMH123" s="0"/>
      <c r="AMI123" s="0"/>
      <c r="AMJ123" s="0"/>
    </row>
    <row r="124" s="28" customFormat="true" ht="14.9" hidden="false" customHeight="false" outlineLevel="0" collapsed="false">
      <c r="A124" s="21"/>
      <c r="B124" s="21" t="s">
        <v>39</v>
      </c>
      <c r="C124" s="21" t="n">
        <v>0.17</v>
      </c>
      <c r="D124" s="22" t="n">
        <v>0.4</v>
      </c>
      <c r="E124" s="22" t="n">
        <v>80</v>
      </c>
      <c r="F124" s="23" t="n">
        <v>19.6</v>
      </c>
      <c r="G124" s="23" t="n">
        <f aca="false">Table1457[[#This Row],[Clay]]+Table1457[[#This Row],[Silt]]</f>
        <v>99.6</v>
      </c>
      <c r="H124" s="23" t="n">
        <f aca="false">100-Table1457[[#This Row],[Clay2]]-Table1457[[#This Row],[Sand]]</f>
        <v>5.6621374255883E-015</v>
      </c>
      <c r="I124" s="23" t="n">
        <v>30.8</v>
      </c>
      <c r="J124" s="23" t="n">
        <v>24.6</v>
      </c>
      <c r="K124" s="23" t="n">
        <f aca="false">Table1457[[#This Row],[LL]]-Table1457[[#This Row],[PL]]</f>
        <v>6.2</v>
      </c>
      <c r="L124" s="24"/>
      <c r="M124" s="24" t="n">
        <v>10</v>
      </c>
      <c r="N124" s="25" t="n">
        <f aca="false">Table1457[[#This Row],[UCS_std_Soaked_7Days]]</f>
        <v>400</v>
      </c>
      <c r="O124" s="24" t="n">
        <v>400</v>
      </c>
      <c r="P124" s="21"/>
      <c r="Q124" s="21" t="n">
        <v>503.47</v>
      </c>
      <c r="R124" s="21"/>
      <c r="S124" s="27" t="s">
        <v>54</v>
      </c>
      <c r="AMH124" s="0"/>
      <c r="AMI124" s="0"/>
      <c r="AMJ124" s="0"/>
    </row>
    <row r="125" s="28" customFormat="true" ht="14.9" hidden="false" customHeight="false" outlineLevel="0" collapsed="false">
      <c r="A125" s="29" t="s">
        <v>56</v>
      </c>
      <c r="B125" s="21" t="s">
        <v>32</v>
      </c>
      <c r="C125" s="21" t="n">
        <v>0.17</v>
      </c>
      <c r="D125" s="22" t="n">
        <v>31.5</v>
      </c>
      <c r="E125" s="22" t="n">
        <v>30</v>
      </c>
      <c r="F125" s="22" t="n">
        <v>38.5</v>
      </c>
      <c r="G125" s="22" t="n">
        <f aca="false">Table1457[[#This Row],[Clay]]+Table1457[[#This Row],[Silt]]</f>
        <v>68.5</v>
      </c>
      <c r="H125" s="23" t="n">
        <f aca="false">100-Table1457[[#This Row],[Clay2]]-Table1457[[#This Row],[Sand]]</f>
        <v>0</v>
      </c>
      <c r="I125" s="23" t="n">
        <v>42.4</v>
      </c>
      <c r="J125" s="23" t="n">
        <v>20.5</v>
      </c>
      <c r="K125" s="23" t="n">
        <f aca="false">Table1457[[#This Row],[LL]]-Table1457[[#This Row],[PL]]</f>
        <v>21.9</v>
      </c>
      <c r="L125" s="24"/>
      <c r="M125" s="24" t="n">
        <v>0</v>
      </c>
      <c r="N125" s="25" t="n">
        <f aca="false">Table1457[[#This Row],[UCS_std_Soaked_7Days]]</f>
        <v>0</v>
      </c>
      <c r="O125" s="24" t="n">
        <v>0</v>
      </c>
      <c r="P125" s="21"/>
      <c r="Q125" s="21" t="n">
        <v>0</v>
      </c>
      <c r="R125" s="21"/>
      <c r="S125" s="27" t="s">
        <v>54</v>
      </c>
      <c r="AMH125" s="0"/>
      <c r="AMI125" s="0"/>
      <c r="AMJ125" s="0"/>
    </row>
    <row r="126" s="28" customFormat="true" ht="14.9" hidden="false" customHeight="false" outlineLevel="0" collapsed="false">
      <c r="A126" s="29"/>
      <c r="B126" s="21" t="s">
        <v>32</v>
      </c>
      <c r="C126" s="21" t="n">
        <v>0.17</v>
      </c>
      <c r="D126" s="22" t="n">
        <v>31.5</v>
      </c>
      <c r="E126" s="22" t="n">
        <v>30</v>
      </c>
      <c r="F126" s="22" t="n">
        <v>38.5</v>
      </c>
      <c r="G126" s="22" t="n">
        <f aca="false">Table1457[[#This Row],[Clay]]+Table1457[[#This Row],[Silt]]</f>
        <v>68.5</v>
      </c>
      <c r="H126" s="23" t="n">
        <f aca="false">100-Table1457[[#This Row],[Clay2]]-Table1457[[#This Row],[Sand]]</f>
        <v>0</v>
      </c>
      <c r="I126" s="23" t="n">
        <v>42.4</v>
      </c>
      <c r="J126" s="23" t="n">
        <v>20.5</v>
      </c>
      <c r="K126" s="23" t="n">
        <f aca="false">Table1457[[#This Row],[LL]]-Table1457[[#This Row],[PL]]</f>
        <v>21.9</v>
      </c>
      <c r="L126" s="24"/>
      <c r="M126" s="24" t="n">
        <v>4</v>
      </c>
      <c r="N126" s="25" t="n">
        <f aca="false">Table1457[[#This Row],[UCS_std_Soaked_7Days]]</f>
        <v>150.59</v>
      </c>
      <c r="O126" s="24" t="n">
        <v>150.59</v>
      </c>
      <c r="P126" s="21"/>
      <c r="Q126" s="21" t="n">
        <v>148.76</v>
      </c>
      <c r="R126" s="21"/>
      <c r="S126" s="27" t="s">
        <v>54</v>
      </c>
      <c r="AMH126" s="0"/>
      <c r="AMI126" s="0"/>
      <c r="AMJ126" s="0"/>
    </row>
    <row r="127" s="28" customFormat="true" ht="14.9" hidden="false" customHeight="false" outlineLevel="0" collapsed="false">
      <c r="A127" s="29"/>
      <c r="B127" s="21" t="s">
        <v>32</v>
      </c>
      <c r="C127" s="21" t="n">
        <v>0.17</v>
      </c>
      <c r="D127" s="22" t="n">
        <v>31.5</v>
      </c>
      <c r="E127" s="22" t="n">
        <v>30</v>
      </c>
      <c r="F127" s="22" t="n">
        <v>38.5</v>
      </c>
      <c r="G127" s="22" t="n">
        <f aca="false">Table1457[[#This Row],[Clay]]+Table1457[[#This Row],[Silt]]</f>
        <v>68.5</v>
      </c>
      <c r="H127" s="23" t="n">
        <f aca="false">100-Table1457[[#This Row],[Clay2]]-Table1457[[#This Row],[Sand]]</f>
        <v>0</v>
      </c>
      <c r="I127" s="23" t="n">
        <v>42.4</v>
      </c>
      <c r="J127" s="23" t="n">
        <v>20.5</v>
      </c>
      <c r="K127" s="23" t="n">
        <f aca="false">Table1457[[#This Row],[LL]]-Table1457[[#This Row],[PL]]</f>
        <v>21.9</v>
      </c>
      <c r="L127" s="24"/>
      <c r="M127" s="24" t="n">
        <v>6</v>
      </c>
      <c r="N127" s="25" t="n">
        <f aca="false">Table1457[[#This Row],[UCS_std_Soaked_7Days]]</f>
        <v>282.35</v>
      </c>
      <c r="O127" s="24" t="n">
        <v>282.35</v>
      </c>
      <c r="P127" s="21"/>
      <c r="Q127" s="21" t="n">
        <v>284.23</v>
      </c>
      <c r="R127" s="21"/>
      <c r="S127" s="27" t="s">
        <v>54</v>
      </c>
      <c r="AMH127" s="0"/>
      <c r="AMI127" s="0"/>
      <c r="AMJ127" s="0"/>
    </row>
    <row r="128" s="28" customFormat="true" ht="14.9" hidden="false" customHeight="false" outlineLevel="0" collapsed="false">
      <c r="A128" s="29"/>
      <c r="B128" s="21" t="s">
        <v>32</v>
      </c>
      <c r="C128" s="21" t="n">
        <v>0.17</v>
      </c>
      <c r="D128" s="22" t="n">
        <v>31.5</v>
      </c>
      <c r="E128" s="22" t="n">
        <v>30</v>
      </c>
      <c r="F128" s="22" t="n">
        <v>38.5</v>
      </c>
      <c r="G128" s="22" t="n">
        <f aca="false">Table1457[[#This Row],[Clay]]+Table1457[[#This Row],[Silt]]</f>
        <v>68.5</v>
      </c>
      <c r="H128" s="23" t="n">
        <f aca="false">100-Table1457[[#This Row],[Clay2]]-Table1457[[#This Row],[Sand]]</f>
        <v>0</v>
      </c>
      <c r="I128" s="23" t="n">
        <v>42.4</v>
      </c>
      <c r="J128" s="23" t="n">
        <v>20.5</v>
      </c>
      <c r="K128" s="23" t="n">
        <f aca="false">Table1457[[#This Row],[LL]]-Table1457[[#This Row],[PL]]</f>
        <v>21.9</v>
      </c>
      <c r="L128" s="24"/>
      <c r="M128" s="24" t="n">
        <v>8</v>
      </c>
      <c r="N128" s="25" t="n">
        <f aca="false">Table1457[[#This Row],[UCS_std_Soaked_7Days]]</f>
        <v>320</v>
      </c>
      <c r="O128" s="24" t="n">
        <v>320</v>
      </c>
      <c r="P128" s="21"/>
      <c r="Q128" s="21" t="n">
        <v>342.11</v>
      </c>
      <c r="R128" s="21"/>
      <c r="S128" s="27" t="s">
        <v>54</v>
      </c>
      <c r="AMH128" s="0"/>
      <c r="AMI128" s="0"/>
      <c r="AMJ128" s="0"/>
    </row>
    <row r="129" s="28" customFormat="true" ht="14.9" hidden="false" customHeight="false" outlineLevel="0" collapsed="false">
      <c r="A129" s="29"/>
      <c r="B129" s="21" t="s">
        <v>32</v>
      </c>
      <c r="C129" s="21" t="n">
        <v>0.17</v>
      </c>
      <c r="D129" s="22" t="n">
        <v>31.5</v>
      </c>
      <c r="E129" s="22" t="n">
        <v>30</v>
      </c>
      <c r="F129" s="22" t="n">
        <v>38.5</v>
      </c>
      <c r="G129" s="22" t="n">
        <f aca="false">Table1457[[#This Row],[Clay]]+Table1457[[#This Row],[Silt]]</f>
        <v>68.5</v>
      </c>
      <c r="H129" s="23" t="n">
        <f aca="false">100-Table1457[[#This Row],[Clay2]]-Table1457[[#This Row],[Sand]]</f>
        <v>0</v>
      </c>
      <c r="I129" s="23" t="n">
        <v>42.4</v>
      </c>
      <c r="J129" s="23" t="n">
        <v>20.5</v>
      </c>
      <c r="K129" s="23" t="n">
        <f aca="false">Table1457[[#This Row],[LL]]-Table1457[[#This Row],[PL]]</f>
        <v>21.9</v>
      </c>
      <c r="L129" s="24"/>
      <c r="M129" s="24" t="n">
        <v>10</v>
      </c>
      <c r="N129" s="25" t="n">
        <f aca="false">Table1457[[#This Row],[UCS_std_Soaked_7Days]]</f>
        <v>517.65</v>
      </c>
      <c r="O129" s="24" t="n">
        <v>517.65</v>
      </c>
      <c r="P129" s="21"/>
      <c r="Q129" s="21" t="n">
        <v>569.46</v>
      </c>
      <c r="R129" s="21"/>
      <c r="S129" s="27" t="s">
        <v>54</v>
      </c>
      <c r="AMH129" s="0"/>
      <c r="AMI129" s="0"/>
      <c r="AMJ129" s="0"/>
    </row>
    <row r="130" s="37" customFormat="true" ht="15" hidden="false" customHeight="true" outlineLevel="0" collapsed="false">
      <c r="A130" s="30" t="s">
        <v>57</v>
      </c>
      <c r="B130" s="30" t="s">
        <v>39</v>
      </c>
      <c r="C130" s="30" t="n">
        <v>0.5</v>
      </c>
      <c r="D130" s="31" t="n">
        <v>0.6</v>
      </c>
      <c r="E130" s="31" t="n">
        <v>81.14</v>
      </c>
      <c r="F130" s="31" t="n">
        <v>18</v>
      </c>
      <c r="G130" s="31" t="n">
        <f aca="false">Table1457[[#This Row],[Clay]]+Table1457[[#This Row],[Silt]]</f>
        <v>99.14</v>
      </c>
      <c r="H130" s="31" t="n">
        <f aca="false">100-Table1457[[#This Row],[Clay2]]-Table1457[[#This Row],[Sand]]</f>
        <v>0.259999999999999</v>
      </c>
      <c r="I130" s="32" t="n">
        <v>33</v>
      </c>
      <c r="J130" s="32" t="n">
        <v>28</v>
      </c>
      <c r="K130" s="32" t="n">
        <f aca="false">Table1457[[#This Row],[LL]]-Table1457[[#This Row],[PL]]</f>
        <v>5</v>
      </c>
      <c r="L130" s="33"/>
      <c r="M130" s="34" t="n">
        <v>0</v>
      </c>
      <c r="N130" s="33" t="n">
        <f aca="false">Table1457[[#This Row],[UCS_std_Soaked_7Days]]</f>
        <v>0</v>
      </c>
      <c r="O130" s="34" t="n">
        <v>0</v>
      </c>
      <c r="P130" s="35"/>
      <c r="Q130" s="30" t="n">
        <v>0</v>
      </c>
      <c r="R130" s="30"/>
      <c r="S130" s="36" t="s">
        <v>58</v>
      </c>
      <c r="AMH130" s="0"/>
      <c r="AMI130" s="0"/>
      <c r="AMJ130" s="0"/>
    </row>
    <row r="131" s="37" customFormat="true" ht="14.9" hidden="false" customHeight="false" outlineLevel="0" collapsed="false">
      <c r="A131" s="30"/>
      <c r="B131" s="30" t="s">
        <v>39</v>
      </c>
      <c r="C131" s="30" t="n">
        <v>0.5</v>
      </c>
      <c r="D131" s="31" t="n">
        <v>0.6</v>
      </c>
      <c r="E131" s="31" t="n">
        <v>81.14</v>
      </c>
      <c r="F131" s="31" t="n">
        <v>18</v>
      </c>
      <c r="G131" s="31" t="n">
        <f aca="false">Table1457[[#This Row],[Clay]]+Table1457[[#This Row],[Silt]]</f>
        <v>99.14</v>
      </c>
      <c r="H131" s="31" t="n">
        <f aca="false">100-Table1457[[#This Row],[Clay2]]-Table1457[[#This Row],[Sand]]</f>
        <v>0.259999999999999</v>
      </c>
      <c r="I131" s="32" t="n">
        <v>33</v>
      </c>
      <c r="J131" s="32" t="n">
        <v>28</v>
      </c>
      <c r="K131" s="32" t="n">
        <f aca="false">Table1457[[#This Row],[LL]]-Table1457[[#This Row],[PL]]</f>
        <v>5</v>
      </c>
      <c r="L131" s="33"/>
      <c r="M131" s="34" t="n">
        <v>2</v>
      </c>
      <c r="N131" s="33" t="n">
        <f aca="false">Table1457[[#This Row],[UCS_std_Soaked_7Days]]</f>
        <v>106.92</v>
      </c>
      <c r="O131" s="34" t="n">
        <v>106.92</v>
      </c>
      <c r="P131" s="35"/>
      <c r="Q131" s="30" t="n">
        <v>120.45</v>
      </c>
      <c r="R131" s="30"/>
      <c r="S131" s="36" t="s">
        <v>58</v>
      </c>
      <c r="AMH131" s="0"/>
      <c r="AMI131" s="0"/>
      <c r="AMJ131" s="0"/>
    </row>
    <row r="132" s="37" customFormat="true" ht="14.9" hidden="false" customHeight="false" outlineLevel="0" collapsed="false">
      <c r="A132" s="30"/>
      <c r="B132" s="30" t="s">
        <v>39</v>
      </c>
      <c r="C132" s="30" t="n">
        <v>0.5</v>
      </c>
      <c r="D132" s="31" t="n">
        <v>0.6</v>
      </c>
      <c r="E132" s="31" t="n">
        <v>81.14</v>
      </c>
      <c r="F132" s="31" t="n">
        <v>18</v>
      </c>
      <c r="G132" s="31" t="n">
        <f aca="false">Table1457[[#This Row],[Clay]]+Table1457[[#This Row],[Silt]]</f>
        <v>99.14</v>
      </c>
      <c r="H132" s="31" t="n">
        <f aca="false">100-Table1457[[#This Row],[Clay2]]-Table1457[[#This Row],[Sand]]</f>
        <v>0.259999999999999</v>
      </c>
      <c r="I132" s="32" t="n">
        <v>33</v>
      </c>
      <c r="J132" s="32" t="n">
        <v>28</v>
      </c>
      <c r="K132" s="32" t="n">
        <f aca="false">Table1457[[#This Row],[LL]]-Table1457[[#This Row],[PL]]</f>
        <v>5</v>
      </c>
      <c r="L132" s="33"/>
      <c r="M132" s="34" t="n">
        <v>6</v>
      </c>
      <c r="N132" s="33" t="n">
        <f aca="false">Table1457[[#This Row],[UCS_std_Soaked_7Days]]</f>
        <v>335.43</v>
      </c>
      <c r="O132" s="34" t="n">
        <v>335.43</v>
      </c>
      <c r="P132" s="35"/>
      <c r="Q132" s="30" t="n">
        <v>481.03</v>
      </c>
      <c r="R132" s="30"/>
      <c r="S132" s="36" t="s">
        <v>58</v>
      </c>
      <c r="AMH132" s="0"/>
      <c r="AMI132" s="0"/>
      <c r="AMJ132" s="0"/>
    </row>
    <row r="133" s="37" customFormat="true" ht="14.9" hidden="false" customHeight="false" outlineLevel="0" collapsed="false">
      <c r="A133" s="30"/>
      <c r="B133" s="30" t="s">
        <v>39</v>
      </c>
      <c r="C133" s="30" t="n">
        <v>0.5</v>
      </c>
      <c r="D133" s="31" t="n">
        <v>0.6</v>
      </c>
      <c r="E133" s="31" t="n">
        <v>81.14</v>
      </c>
      <c r="F133" s="31" t="n">
        <v>18</v>
      </c>
      <c r="G133" s="31" t="n">
        <f aca="false">Table1457[[#This Row],[Clay]]+Table1457[[#This Row],[Silt]]</f>
        <v>99.14</v>
      </c>
      <c r="H133" s="31" t="n">
        <f aca="false">100-Table1457[[#This Row],[Clay2]]-Table1457[[#This Row],[Sand]]</f>
        <v>0.259999999999999</v>
      </c>
      <c r="I133" s="32" t="n">
        <v>33</v>
      </c>
      <c r="J133" s="32" t="n">
        <v>28</v>
      </c>
      <c r="K133" s="32" t="n">
        <f aca="false">Table1457[[#This Row],[LL]]-Table1457[[#This Row],[PL]]</f>
        <v>5</v>
      </c>
      <c r="L133" s="34"/>
      <c r="M133" s="34" t="n">
        <v>10</v>
      </c>
      <c r="N133" s="33" t="n">
        <f aca="false">Table1457[[#This Row],[UCS_std_Soaked_7Days]]</f>
        <v>475.91</v>
      </c>
      <c r="O133" s="34" t="n">
        <v>475.91</v>
      </c>
      <c r="P133" s="30"/>
      <c r="Q133" s="30" t="n">
        <v>611.02</v>
      </c>
      <c r="R133" s="30"/>
      <c r="S133" s="36" t="s">
        <v>58</v>
      </c>
      <c r="AMH133" s="0"/>
      <c r="AMI133" s="0"/>
      <c r="AMJ133" s="0"/>
    </row>
    <row r="134" s="37" customFormat="true" ht="14.9" hidden="false" customHeight="false" outlineLevel="0" collapsed="false">
      <c r="A134" s="38" t="s">
        <v>59</v>
      </c>
      <c r="B134" s="30" t="s">
        <v>23</v>
      </c>
      <c r="C134" s="30" t="n">
        <v>0.44</v>
      </c>
      <c r="D134" s="31" t="n">
        <v>5.5</v>
      </c>
      <c r="E134" s="31" t="n">
        <v>53.3</v>
      </c>
      <c r="F134" s="31" t="n">
        <v>41.2</v>
      </c>
      <c r="G134" s="31" t="n">
        <f aca="false">Table1457[[#This Row],[Clay]]+Table1457[[#This Row],[Silt]]</f>
        <v>94.5</v>
      </c>
      <c r="H134" s="31" t="n">
        <f aca="false">100-Table1457[[#This Row],[Clay2]]-Table1457[[#This Row],[Sand]]</f>
        <v>0</v>
      </c>
      <c r="I134" s="32" t="n">
        <v>52</v>
      </c>
      <c r="J134" s="32" t="n">
        <v>20</v>
      </c>
      <c r="K134" s="32" t="n">
        <f aca="false">Table1457[[#This Row],[LL]]-Table1457[[#This Row],[PL]]</f>
        <v>32</v>
      </c>
      <c r="L134" s="34"/>
      <c r="M134" s="34" t="n">
        <v>0</v>
      </c>
      <c r="N134" s="33" t="n">
        <f aca="false">Table1457[[#This Row],[UCS_std_Soaked_7Days]]</f>
        <v>0</v>
      </c>
      <c r="O134" s="34" t="n">
        <v>0</v>
      </c>
      <c r="P134" s="30"/>
      <c r="Q134" s="30" t="n">
        <v>0</v>
      </c>
      <c r="R134" s="30"/>
      <c r="S134" s="36" t="s">
        <v>58</v>
      </c>
      <c r="AMH134" s="0"/>
      <c r="AMI134" s="0"/>
      <c r="AMJ134" s="0"/>
    </row>
    <row r="135" s="37" customFormat="true" ht="14.9" hidden="false" customHeight="false" outlineLevel="0" collapsed="false">
      <c r="A135" s="38"/>
      <c r="B135" s="30" t="s">
        <v>23</v>
      </c>
      <c r="C135" s="30" t="n">
        <v>0.44</v>
      </c>
      <c r="D135" s="31" t="n">
        <v>5.5</v>
      </c>
      <c r="E135" s="31" t="n">
        <v>53.3</v>
      </c>
      <c r="F135" s="31" t="n">
        <v>41.2</v>
      </c>
      <c r="G135" s="31" t="n">
        <f aca="false">Table1457[[#This Row],[Clay]]+Table1457[[#This Row],[Silt]]</f>
        <v>94.5</v>
      </c>
      <c r="H135" s="31" t="n">
        <f aca="false">100-Table1457[[#This Row],[Clay2]]-Table1457[[#This Row],[Sand]]</f>
        <v>0</v>
      </c>
      <c r="I135" s="32" t="n">
        <v>52</v>
      </c>
      <c r="J135" s="32" t="n">
        <v>20</v>
      </c>
      <c r="K135" s="32" t="n">
        <f aca="false">Table1457[[#This Row],[LL]]-Table1457[[#This Row],[PL]]</f>
        <v>32</v>
      </c>
      <c r="L135" s="34"/>
      <c r="M135" s="34" t="n">
        <v>6</v>
      </c>
      <c r="N135" s="33" t="n">
        <f aca="false">Table1457[[#This Row],[UCS_std_Soaked_7Days]]</f>
        <v>234.81</v>
      </c>
      <c r="O135" s="34" t="n">
        <v>234.81</v>
      </c>
      <c r="P135" s="30"/>
      <c r="Q135" s="30" t="n">
        <v>280.36</v>
      </c>
      <c r="R135" s="30"/>
      <c r="S135" s="36" t="s">
        <v>58</v>
      </c>
      <c r="AMH135" s="0"/>
      <c r="AMI135" s="0"/>
      <c r="AMJ135" s="0"/>
    </row>
    <row r="136" s="37" customFormat="true" ht="14.9" hidden="false" customHeight="false" outlineLevel="0" collapsed="false">
      <c r="A136" s="38"/>
      <c r="B136" s="30" t="s">
        <v>23</v>
      </c>
      <c r="C136" s="30" t="n">
        <v>0.44</v>
      </c>
      <c r="D136" s="31" t="n">
        <v>5.5</v>
      </c>
      <c r="E136" s="31" t="n">
        <v>53.3</v>
      </c>
      <c r="F136" s="31" t="n">
        <v>41.2</v>
      </c>
      <c r="G136" s="31" t="n">
        <f aca="false">Table1457[[#This Row],[Clay]]+Table1457[[#This Row],[Silt]]</f>
        <v>94.5</v>
      </c>
      <c r="H136" s="31" t="n">
        <f aca="false">100-Table1457[[#This Row],[Clay2]]-Table1457[[#This Row],[Sand]]</f>
        <v>0</v>
      </c>
      <c r="I136" s="32" t="n">
        <v>52</v>
      </c>
      <c r="J136" s="32" t="n">
        <v>20</v>
      </c>
      <c r="K136" s="32" t="n">
        <f aca="false">Table1457[[#This Row],[LL]]-Table1457[[#This Row],[PL]]</f>
        <v>32</v>
      </c>
      <c r="L136" s="34"/>
      <c r="M136" s="34" t="n">
        <v>10</v>
      </c>
      <c r="N136" s="33" t="n">
        <f aca="false">Table1457[[#This Row],[UCS_std_Soaked_7Days]]</f>
        <v>469.59</v>
      </c>
      <c r="O136" s="34" t="n">
        <v>469.59</v>
      </c>
      <c r="P136" s="30"/>
      <c r="Q136" s="30" t="n">
        <v>550.48</v>
      </c>
      <c r="R136" s="30"/>
      <c r="S136" s="36" t="s">
        <v>58</v>
      </c>
      <c r="AMH136" s="0"/>
      <c r="AMI136" s="0"/>
      <c r="AMJ136" s="0"/>
    </row>
    <row r="137" s="37" customFormat="true" ht="14.9" hidden="false" customHeight="false" outlineLevel="0" collapsed="false">
      <c r="A137" s="38" t="s">
        <v>60</v>
      </c>
      <c r="B137" s="30" t="s">
        <v>32</v>
      </c>
      <c r="C137" s="30" t="n">
        <v>0.13</v>
      </c>
      <c r="D137" s="31" t="n">
        <v>37</v>
      </c>
      <c r="E137" s="31" t="n">
        <v>22.3</v>
      </c>
      <c r="F137" s="31" t="n">
        <v>40.7</v>
      </c>
      <c r="G137" s="31" t="n">
        <f aca="false">Table1457[[#This Row],[Clay]]+Table1457[[#This Row],[Silt]]</f>
        <v>63</v>
      </c>
      <c r="H137" s="31" t="n">
        <f aca="false">100-Table1457[[#This Row],[Clay2]]-Table1457[[#This Row],[Sand]]</f>
        <v>0</v>
      </c>
      <c r="I137" s="32" t="n">
        <v>44</v>
      </c>
      <c r="J137" s="32" t="n">
        <v>17</v>
      </c>
      <c r="K137" s="32" t="n">
        <f aca="false">Table1457[[#This Row],[LL]]-Table1457[[#This Row],[PL]]</f>
        <v>27</v>
      </c>
      <c r="L137" s="34"/>
      <c r="M137" s="34" t="n">
        <v>0</v>
      </c>
      <c r="N137" s="33" t="n">
        <f aca="false">Table1457[[#This Row],[UCS_std_Soaked_7Days]]</f>
        <v>0</v>
      </c>
      <c r="O137" s="34" t="n">
        <v>0</v>
      </c>
      <c r="P137" s="30"/>
      <c r="Q137" s="30" t="n">
        <v>0</v>
      </c>
      <c r="R137" s="30"/>
      <c r="S137" s="36" t="s">
        <v>58</v>
      </c>
      <c r="AMH137" s="0"/>
      <c r="AMI137" s="0"/>
      <c r="AMJ137" s="0"/>
    </row>
    <row r="138" s="37" customFormat="true" ht="14.9" hidden="false" customHeight="false" outlineLevel="0" collapsed="false">
      <c r="A138" s="38"/>
      <c r="B138" s="30" t="s">
        <v>32</v>
      </c>
      <c r="C138" s="30" t="n">
        <v>0.13</v>
      </c>
      <c r="D138" s="31" t="n">
        <v>37</v>
      </c>
      <c r="E138" s="31" t="n">
        <v>22.3</v>
      </c>
      <c r="F138" s="31" t="n">
        <v>40.7</v>
      </c>
      <c r="G138" s="31" t="n">
        <f aca="false">Table1457[[#This Row],[Clay]]+Table1457[[#This Row],[Silt]]</f>
        <v>63</v>
      </c>
      <c r="H138" s="31" t="n">
        <f aca="false">100-Table1457[[#This Row],[Clay2]]-Table1457[[#This Row],[Sand]]</f>
        <v>0</v>
      </c>
      <c r="I138" s="32" t="n">
        <v>44</v>
      </c>
      <c r="J138" s="32" t="n">
        <v>17</v>
      </c>
      <c r="K138" s="32" t="n">
        <f aca="false">Table1457[[#This Row],[LL]]-Table1457[[#This Row],[PL]]</f>
        <v>27</v>
      </c>
      <c r="L138" s="34"/>
      <c r="M138" s="34" t="n">
        <v>6</v>
      </c>
      <c r="N138" s="33" t="n">
        <f aca="false">Table1457[[#This Row],[UCS_std_Soaked_7Days]]</f>
        <v>238.2</v>
      </c>
      <c r="O138" s="34" t="n">
        <v>238.2</v>
      </c>
      <c r="P138" s="30"/>
      <c r="Q138" s="30" t="n">
        <v>303.37</v>
      </c>
      <c r="R138" s="30"/>
      <c r="S138" s="36" t="s">
        <v>58</v>
      </c>
      <c r="AMH138" s="0"/>
      <c r="AMI138" s="0"/>
      <c r="AMJ138" s="0"/>
    </row>
    <row r="139" s="37" customFormat="true" ht="14.9" hidden="false" customHeight="false" outlineLevel="0" collapsed="false">
      <c r="A139" s="38"/>
      <c r="B139" s="30" t="s">
        <v>32</v>
      </c>
      <c r="C139" s="30" t="n">
        <v>0.13</v>
      </c>
      <c r="D139" s="31" t="n">
        <v>37</v>
      </c>
      <c r="E139" s="31" t="n">
        <v>22.3</v>
      </c>
      <c r="F139" s="31" t="n">
        <v>40.7</v>
      </c>
      <c r="G139" s="31" t="n">
        <f aca="false">Table1457[[#This Row],[Clay]]+Table1457[[#This Row],[Silt]]</f>
        <v>63</v>
      </c>
      <c r="H139" s="31" t="n">
        <f aca="false">100-Table1457[[#This Row],[Clay2]]-Table1457[[#This Row],[Sand]]</f>
        <v>0</v>
      </c>
      <c r="I139" s="32" t="n">
        <v>44</v>
      </c>
      <c r="J139" s="32" t="n">
        <v>17</v>
      </c>
      <c r="K139" s="32" t="n">
        <f aca="false">Table1457[[#This Row],[LL]]-Table1457[[#This Row],[PL]]</f>
        <v>27</v>
      </c>
      <c r="L139" s="34"/>
      <c r="M139" s="34" t="n">
        <v>10</v>
      </c>
      <c r="N139" s="33" t="n">
        <f aca="false">Table1457[[#This Row],[UCS_std_Soaked_7Days]]</f>
        <v>438.2</v>
      </c>
      <c r="O139" s="34" t="n">
        <v>438.2</v>
      </c>
      <c r="P139" s="30"/>
      <c r="Q139" s="30" t="n">
        <v>570.79</v>
      </c>
      <c r="R139" s="30"/>
      <c r="S139" s="36" t="s">
        <v>58</v>
      </c>
      <c r="AMH139" s="0"/>
      <c r="AMI139" s="0"/>
      <c r="AMJ139" s="0"/>
    </row>
    <row r="140" s="37" customFormat="true" ht="14.9" hidden="false" customHeight="false" outlineLevel="0" collapsed="false">
      <c r="A140" s="30" t="s">
        <v>61</v>
      </c>
      <c r="B140" s="30" t="s">
        <v>32</v>
      </c>
      <c r="C140" s="30" t="n">
        <v>0.1</v>
      </c>
      <c r="D140" s="31" t="n">
        <v>23.9</v>
      </c>
      <c r="E140" s="31" t="n">
        <v>28.3</v>
      </c>
      <c r="F140" s="31" t="n">
        <v>47.8</v>
      </c>
      <c r="G140" s="31" t="n">
        <f aca="false">Table1457[[#This Row],[Clay]]+Table1457[[#This Row],[Silt]]</f>
        <v>76.1</v>
      </c>
      <c r="H140" s="31" t="n">
        <f aca="false">100-Table1457[[#This Row],[Clay2]]-Table1457[[#This Row],[Sand]]</f>
        <v>0</v>
      </c>
      <c r="I140" s="32" t="n">
        <v>45</v>
      </c>
      <c r="J140" s="32" t="n">
        <v>15</v>
      </c>
      <c r="K140" s="32" t="n">
        <f aca="false">Table1457[[#This Row],[LL]]-Table1457[[#This Row],[PL]]</f>
        <v>30</v>
      </c>
      <c r="L140" s="34"/>
      <c r="M140" s="34" t="n">
        <v>0</v>
      </c>
      <c r="N140" s="33" t="n">
        <f aca="false">Table1457[[#This Row],[UCS_std_Soaked_7Days]]</f>
        <v>0</v>
      </c>
      <c r="O140" s="34" t="n">
        <v>0</v>
      </c>
      <c r="P140" s="30"/>
      <c r="Q140" s="30" t="n">
        <v>0</v>
      </c>
      <c r="R140" s="30"/>
      <c r="S140" s="36" t="s">
        <v>58</v>
      </c>
      <c r="AMH140" s="0"/>
      <c r="AMI140" s="0"/>
      <c r="AMJ140" s="0"/>
    </row>
    <row r="141" s="37" customFormat="true" ht="14.9" hidden="false" customHeight="false" outlineLevel="0" collapsed="false">
      <c r="A141" s="30"/>
      <c r="B141" s="30" t="s">
        <v>32</v>
      </c>
      <c r="C141" s="30" t="n">
        <v>0.1</v>
      </c>
      <c r="D141" s="31" t="n">
        <v>23.9</v>
      </c>
      <c r="E141" s="31" t="n">
        <v>28.3</v>
      </c>
      <c r="F141" s="31" t="n">
        <v>47.8</v>
      </c>
      <c r="G141" s="31" t="n">
        <f aca="false">Table1457[[#This Row],[Clay]]+Table1457[[#This Row],[Silt]]</f>
        <v>76.1</v>
      </c>
      <c r="H141" s="31" t="n">
        <f aca="false">100-Table1457[[#This Row],[Clay2]]-Table1457[[#This Row],[Sand]]</f>
        <v>0</v>
      </c>
      <c r="I141" s="32" t="n">
        <v>45</v>
      </c>
      <c r="J141" s="32" t="n">
        <v>15</v>
      </c>
      <c r="K141" s="32" t="n">
        <f aca="false">Table1457[[#This Row],[LL]]-Table1457[[#This Row],[PL]]</f>
        <v>30</v>
      </c>
      <c r="L141" s="34"/>
      <c r="M141" s="34" t="n">
        <v>2</v>
      </c>
      <c r="N141" s="33" t="n">
        <f aca="false">Table1457[[#This Row],[UCS_std_Soaked_7Days]]</f>
        <v>67.24</v>
      </c>
      <c r="O141" s="34" t="n">
        <v>67.24</v>
      </c>
      <c r="P141" s="30"/>
      <c r="Q141" s="30" t="n">
        <v>80.93</v>
      </c>
      <c r="R141" s="30"/>
      <c r="S141" s="36" t="s">
        <v>58</v>
      </c>
      <c r="AMH141" s="0"/>
      <c r="AMI141" s="0"/>
      <c r="AMJ141" s="0"/>
    </row>
    <row r="142" s="37" customFormat="true" ht="14.9" hidden="false" customHeight="false" outlineLevel="0" collapsed="false">
      <c r="A142" s="30"/>
      <c r="B142" s="30" t="s">
        <v>32</v>
      </c>
      <c r="C142" s="30" t="n">
        <v>0.1</v>
      </c>
      <c r="D142" s="31" t="n">
        <v>23.9</v>
      </c>
      <c r="E142" s="31" t="n">
        <v>28.3</v>
      </c>
      <c r="F142" s="31" t="n">
        <v>47.8</v>
      </c>
      <c r="G142" s="31" t="n">
        <f aca="false">Table1457[[#This Row],[Clay]]+Table1457[[#This Row],[Silt]]</f>
        <v>76.1</v>
      </c>
      <c r="H142" s="31" t="n">
        <f aca="false">100-Table1457[[#This Row],[Clay2]]-Table1457[[#This Row],[Sand]]</f>
        <v>0</v>
      </c>
      <c r="I142" s="32" t="n">
        <v>45</v>
      </c>
      <c r="J142" s="32" t="n">
        <v>15</v>
      </c>
      <c r="K142" s="32" t="n">
        <f aca="false">Table1457[[#This Row],[LL]]-Table1457[[#This Row],[PL]]</f>
        <v>30</v>
      </c>
      <c r="L142" s="34"/>
      <c r="M142" s="34" t="n">
        <v>4</v>
      </c>
      <c r="N142" s="33" t="n">
        <f aca="false">Table1457[[#This Row],[UCS_std_Soaked_7Days]]</f>
        <v>157.67</v>
      </c>
      <c r="O142" s="34" t="n">
        <v>157.67</v>
      </c>
      <c r="P142" s="30"/>
      <c r="Q142" s="30" t="n">
        <v>227.02</v>
      </c>
      <c r="R142" s="30"/>
      <c r="S142" s="36" t="s">
        <v>58</v>
      </c>
      <c r="AMH142" s="0"/>
      <c r="AMI142" s="0"/>
      <c r="AMJ142" s="0"/>
    </row>
    <row r="143" s="37" customFormat="true" ht="14.9" hidden="false" customHeight="false" outlineLevel="0" collapsed="false">
      <c r="A143" s="30"/>
      <c r="B143" s="30" t="s">
        <v>32</v>
      </c>
      <c r="C143" s="30" t="n">
        <v>0.1</v>
      </c>
      <c r="D143" s="31" t="n">
        <v>23.9</v>
      </c>
      <c r="E143" s="31" t="n">
        <v>28.3</v>
      </c>
      <c r="F143" s="31" t="n">
        <v>47.8</v>
      </c>
      <c r="G143" s="31" t="n">
        <f aca="false">Table1457[[#This Row],[Clay]]+Table1457[[#This Row],[Silt]]</f>
        <v>76.1</v>
      </c>
      <c r="H143" s="31" t="n">
        <f aca="false">100-Table1457[[#This Row],[Clay2]]-Table1457[[#This Row],[Sand]]</f>
        <v>0</v>
      </c>
      <c r="I143" s="32" t="n">
        <v>45</v>
      </c>
      <c r="J143" s="32" t="n">
        <v>15</v>
      </c>
      <c r="K143" s="32" t="n">
        <f aca="false">Table1457[[#This Row],[LL]]-Table1457[[#This Row],[PL]]</f>
        <v>30</v>
      </c>
      <c r="L143" s="34"/>
      <c r="M143" s="34" t="n">
        <v>6</v>
      </c>
      <c r="N143" s="33" t="n">
        <f aca="false">Table1457[[#This Row],[UCS_std_Soaked_7Days]]</f>
        <v>271.29</v>
      </c>
      <c r="O143" s="34" t="n">
        <v>271.29</v>
      </c>
      <c r="P143" s="30"/>
      <c r="Q143" s="30" t="n">
        <v>396.3</v>
      </c>
      <c r="R143" s="30"/>
      <c r="S143" s="36" t="s">
        <v>58</v>
      </c>
      <c r="AMH143" s="0"/>
      <c r="AMI143" s="0"/>
      <c r="AMJ143" s="0"/>
    </row>
    <row r="144" s="37" customFormat="true" ht="14.9" hidden="false" customHeight="false" outlineLevel="0" collapsed="false">
      <c r="A144" s="30"/>
      <c r="B144" s="30" t="s">
        <v>32</v>
      </c>
      <c r="C144" s="30" t="n">
        <v>0.1</v>
      </c>
      <c r="D144" s="31" t="n">
        <v>23.9</v>
      </c>
      <c r="E144" s="31" t="n">
        <v>28.3</v>
      </c>
      <c r="F144" s="31" t="n">
        <v>47.8</v>
      </c>
      <c r="G144" s="31" t="n">
        <f aca="false">Table1457[[#This Row],[Clay]]+Table1457[[#This Row],[Silt]]</f>
        <v>76.1</v>
      </c>
      <c r="H144" s="31" t="n">
        <f aca="false">100-Table1457[[#This Row],[Clay2]]-Table1457[[#This Row],[Sand]]</f>
        <v>0</v>
      </c>
      <c r="I144" s="32" t="n">
        <v>45</v>
      </c>
      <c r="J144" s="32" t="n">
        <v>15</v>
      </c>
      <c r="K144" s="32" t="n">
        <f aca="false">Table1457[[#This Row],[LL]]-Table1457[[#This Row],[PL]]</f>
        <v>30</v>
      </c>
      <c r="L144" s="34"/>
      <c r="M144" s="34" t="n">
        <v>8</v>
      </c>
      <c r="N144" s="33" t="n">
        <f aca="false">Table1457[[#This Row],[UCS_std_Soaked_7Days]]</f>
        <v>364.06</v>
      </c>
      <c r="O144" s="34" t="n">
        <v>364.06</v>
      </c>
      <c r="P144" s="30"/>
      <c r="Q144" s="30" t="n">
        <v>512.24</v>
      </c>
      <c r="R144" s="30"/>
      <c r="S144" s="36" t="s">
        <v>58</v>
      </c>
      <c r="AMH144" s="0"/>
      <c r="AMI144" s="0"/>
      <c r="AMJ144" s="0"/>
    </row>
    <row r="145" s="37" customFormat="true" ht="14.9" hidden="false" customHeight="false" outlineLevel="0" collapsed="false">
      <c r="A145" s="30"/>
      <c r="B145" s="30" t="s">
        <v>32</v>
      </c>
      <c r="C145" s="30" t="n">
        <v>0.1</v>
      </c>
      <c r="D145" s="31" t="n">
        <v>23.9</v>
      </c>
      <c r="E145" s="31" t="n">
        <v>28.3</v>
      </c>
      <c r="F145" s="31" t="n">
        <v>47.8</v>
      </c>
      <c r="G145" s="31" t="n">
        <f aca="false">Table1457[[#This Row],[Clay]]+Table1457[[#This Row],[Silt]]</f>
        <v>76.1</v>
      </c>
      <c r="H145" s="31" t="n">
        <f aca="false">100-Table1457[[#This Row],[Clay2]]-Table1457[[#This Row],[Sand]]</f>
        <v>0</v>
      </c>
      <c r="I145" s="32" t="n">
        <v>45</v>
      </c>
      <c r="J145" s="32" t="n">
        <v>15</v>
      </c>
      <c r="K145" s="32" t="n">
        <f aca="false">Table1457[[#This Row],[LL]]-Table1457[[#This Row],[PL]]</f>
        <v>30</v>
      </c>
      <c r="L145" s="34"/>
      <c r="M145" s="34" t="n">
        <v>10</v>
      </c>
      <c r="N145" s="33" t="n">
        <f aca="false">Table1457[[#This Row],[UCS_std_Soaked_7Days]]</f>
        <v>428.98</v>
      </c>
      <c r="O145" s="34" t="n">
        <v>428.98</v>
      </c>
      <c r="P145" s="30"/>
      <c r="Q145" s="30" t="n">
        <v>593.4</v>
      </c>
      <c r="R145" s="30"/>
      <c r="S145" s="36" t="s">
        <v>58</v>
      </c>
      <c r="AMH145" s="0"/>
      <c r="AMI145" s="0"/>
      <c r="AMJ145" s="0"/>
    </row>
    <row r="146" s="37" customFormat="true" ht="14.9" hidden="false" customHeight="false" outlineLevel="0" collapsed="false">
      <c r="A146" s="38" t="s">
        <v>45</v>
      </c>
      <c r="B146" s="30" t="s">
        <v>23</v>
      </c>
      <c r="C146" s="30" t="n">
        <v>0.16</v>
      </c>
      <c r="D146" s="31" t="n">
        <v>22.2</v>
      </c>
      <c r="E146" s="31" t="n">
        <v>15</v>
      </c>
      <c r="F146" s="31" t="n">
        <v>62.8</v>
      </c>
      <c r="G146" s="31" t="n">
        <f aca="false">Table1457[[#This Row],[Clay]]+Table1457[[#This Row],[Silt]]</f>
        <v>77.8</v>
      </c>
      <c r="H146" s="31" t="n">
        <f aca="false">100-Table1457[[#This Row],[Clay2]]-Table1457[[#This Row],[Sand]]</f>
        <v>0</v>
      </c>
      <c r="I146" s="32" t="n">
        <v>76</v>
      </c>
      <c r="J146" s="32" t="n">
        <v>26</v>
      </c>
      <c r="K146" s="32" t="n">
        <f aca="false">Table1457[[#This Row],[LL]]-Table1457[[#This Row],[PL]]</f>
        <v>50</v>
      </c>
      <c r="L146" s="34"/>
      <c r="M146" s="34" t="n">
        <v>0</v>
      </c>
      <c r="N146" s="33" t="n">
        <f aca="false">Table1457[[#This Row],[UCS_std_Soaked_7Days]]</f>
        <v>0</v>
      </c>
      <c r="O146" s="34" t="n">
        <v>0</v>
      </c>
      <c r="P146" s="30"/>
      <c r="Q146" s="30" t="n">
        <v>0</v>
      </c>
      <c r="R146" s="30"/>
      <c r="S146" s="36" t="s">
        <v>58</v>
      </c>
      <c r="AMH146" s="0"/>
      <c r="AMI146" s="0"/>
      <c r="AMJ146" s="0"/>
    </row>
    <row r="147" s="37" customFormat="true" ht="14.9" hidden="false" customHeight="false" outlineLevel="0" collapsed="false">
      <c r="A147" s="38"/>
      <c r="B147" s="30" t="s">
        <v>23</v>
      </c>
      <c r="C147" s="30" t="n">
        <v>0.16</v>
      </c>
      <c r="D147" s="31" t="n">
        <v>22.2</v>
      </c>
      <c r="E147" s="31" t="n">
        <v>15</v>
      </c>
      <c r="F147" s="31" t="n">
        <v>62.8</v>
      </c>
      <c r="G147" s="31" t="n">
        <f aca="false">Table1457[[#This Row],[Clay]]+Table1457[[#This Row],[Silt]]</f>
        <v>77.8</v>
      </c>
      <c r="H147" s="31" t="n">
        <f aca="false">100-Table1457[[#This Row],[Clay2]]-Table1457[[#This Row],[Sand]]</f>
        <v>0</v>
      </c>
      <c r="I147" s="32" t="n">
        <v>76</v>
      </c>
      <c r="J147" s="32" t="n">
        <v>26</v>
      </c>
      <c r="K147" s="32" t="n">
        <f aca="false">Table1457[[#This Row],[LL]]-Table1457[[#This Row],[PL]]</f>
        <v>50</v>
      </c>
      <c r="L147" s="34"/>
      <c r="M147" s="34" t="n">
        <v>6</v>
      </c>
      <c r="N147" s="33" t="n">
        <f aca="false">Table1457[[#This Row],[UCS_std_Soaked_7Days]]</f>
        <v>61.9</v>
      </c>
      <c r="O147" s="34" t="n">
        <v>61.9</v>
      </c>
      <c r="P147" s="30"/>
      <c r="Q147" s="30" t="n">
        <v>78.35</v>
      </c>
      <c r="R147" s="30"/>
      <c r="S147" s="36" t="s">
        <v>58</v>
      </c>
      <c r="AMH147" s="0"/>
      <c r="AMI147" s="0"/>
      <c r="AMJ147" s="0"/>
    </row>
    <row r="148" s="37" customFormat="true" ht="14.9" hidden="false" customHeight="false" outlineLevel="0" collapsed="false">
      <c r="A148" s="38"/>
      <c r="B148" s="34" t="s">
        <v>23</v>
      </c>
      <c r="C148" s="34" t="n">
        <v>0.16</v>
      </c>
      <c r="D148" s="32" t="n">
        <v>22.2</v>
      </c>
      <c r="E148" s="32" t="n">
        <v>15</v>
      </c>
      <c r="F148" s="32" t="n">
        <v>62.8</v>
      </c>
      <c r="G148" s="32" t="n">
        <f aca="false">Table1457[[#This Row],[Clay]]+Table1457[[#This Row],[Silt]]</f>
        <v>77.8</v>
      </c>
      <c r="H148" s="32" t="n">
        <f aca="false">100-Table1457[[#This Row],[Clay2]]-Table1457[[#This Row],[Sand]]</f>
        <v>0</v>
      </c>
      <c r="I148" s="32" t="n">
        <v>76</v>
      </c>
      <c r="J148" s="32" t="n">
        <v>26</v>
      </c>
      <c r="K148" s="32" t="n">
        <f aca="false">Table1457[[#This Row],[LL]]-Table1457[[#This Row],[PL]]</f>
        <v>50</v>
      </c>
      <c r="L148" s="34"/>
      <c r="M148" s="34" t="n">
        <v>10</v>
      </c>
      <c r="N148" s="33" t="n">
        <f aca="false">Table1457[[#This Row],[UCS_std_Soaked_7Days]]</f>
        <v>133.33</v>
      </c>
      <c r="O148" s="34" t="n">
        <v>133.33</v>
      </c>
      <c r="P148" s="34"/>
      <c r="Q148" s="34" t="n">
        <v>178.34</v>
      </c>
      <c r="R148" s="34"/>
      <c r="S148" s="39" t="s">
        <v>58</v>
      </c>
      <c r="AMH148" s="0"/>
      <c r="AMI148" s="0"/>
      <c r="AMJ148" s="0"/>
    </row>
    <row r="149" s="20" customFormat="true" ht="15" hidden="false" customHeight="true" outlineLevel="0" collapsed="false">
      <c r="A149" s="14" t="s">
        <v>62</v>
      </c>
      <c r="B149" s="14" t="s">
        <v>32</v>
      </c>
      <c r="C149" s="14" t="n">
        <v>0.06</v>
      </c>
      <c r="D149" s="18" t="n">
        <v>20.9</v>
      </c>
      <c r="E149" s="18" t="n">
        <v>40.6</v>
      </c>
      <c r="F149" s="18" t="n">
        <v>38.5</v>
      </c>
      <c r="G149" s="18" t="n">
        <f aca="false">Table1457[[#This Row],[Clay]]+Table1457[[#This Row],[Silt]]</f>
        <v>79.1</v>
      </c>
      <c r="H149" s="18" t="n">
        <f aca="false">100-Table1457[[#This Row],[Clay2]]-Table1457[[#This Row],[Sand]]</f>
        <v>0</v>
      </c>
      <c r="I149" s="18" t="n">
        <v>41.2</v>
      </c>
      <c r="J149" s="18" t="n">
        <v>16.7</v>
      </c>
      <c r="K149" s="18" t="n">
        <f aca="false">Table1457[[#This Row],[LL]]-Table1457[[#This Row],[PL]]</f>
        <v>24.5</v>
      </c>
      <c r="L149" s="14" t="n">
        <v>4</v>
      </c>
      <c r="M149" s="33"/>
      <c r="N149" s="40" t="n">
        <f aca="false">Table1457[[#This Row],[UCS_std_Soaked_7Days]]</f>
        <v>252.99</v>
      </c>
      <c r="O149" s="14" t="n">
        <v>252.99</v>
      </c>
      <c r="P149" s="33"/>
      <c r="Q149" s="14" t="n">
        <v>411.59</v>
      </c>
      <c r="R149" s="14"/>
      <c r="S149" s="19" t="s">
        <v>63</v>
      </c>
      <c r="AMH149" s="0"/>
      <c r="AMI149" s="0"/>
      <c r="AMJ149" s="0"/>
    </row>
    <row r="150" s="20" customFormat="true" ht="14.9" hidden="false" customHeight="false" outlineLevel="0" collapsed="false">
      <c r="A150" s="14"/>
      <c r="B150" s="14" t="s">
        <v>32</v>
      </c>
      <c r="C150" s="14" t="n">
        <v>0.06</v>
      </c>
      <c r="D150" s="18" t="n">
        <v>20.9</v>
      </c>
      <c r="E150" s="18" t="n">
        <v>40.6</v>
      </c>
      <c r="F150" s="18" t="n">
        <v>38.5</v>
      </c>
      <c r="G150" s="18" t="n">
        <f aca="false">Table1457[[#This Row],[Clay]]+Table1457[[#This Row],[Silt]]</f>
        <v>79.1</v>
      </c>
      <c r="H150" s="18" t="n">
        <f aca="false">100-Table1457[[#This Row],[Clay2]]-Table1457[[#This Row],[Sand]]</f>
        <v>0</v>
      </c>
      <c r="I150" s="18" t="n">
        <v>41.2</v>
      </c>
      <c r="J150" s="18" t="n">
        <v>16.7</v>
      </c>
      <c r="K150" s="18" t="n">
        <f aca="false">Table1457[[#This Row],[LL]]-Table1457[[#This Row],[PL]]</f>
        <v>24.5</v>
      </c>
      <c r="L150" s="14" t="n">
        <v>6</v>
      </c>
      <c r="M150" s="33"/>
      <c r="N150" s="40" t="n">
        <f aca="false">Table1457[[#This Row],[UCS_std_Soaked_7Days]]</f>
        <v>317.95</v>
      </c>
      <c r="O150" s="14" t="n">
        <v>317.95</v>
      </c>
      <c r="P150" s="33"/>
      <c r="Q150" s="14" t="n">
        <v>544.52</v>
      </c>
      <c r="R150" s="14"/>
      <c r="S150" s="19" t="s">
        <v>63</v>
      </c>
      <c r="AMH150" s="0"/>
      <c r="AMI150" s="0"/>
      <c r="AMJ150" s="0"/>
    </row>
    <row r="151" s="20" customFormat="true" ht="14.9" hidden="false" customHeight="false" outlineLevel="0" collapsed="false">
      <c r="A151" s="14"/>
      <c r="B151" s="14" t="s">
        <v>32</v>
      </c>
      <c r="C151" s="14" t="n">
        <v>0.06</v>
      </c>
      <c r="D151" s="18" t="n">
        <v>20.9</v>
      </c>
      <c r="E151" s="18" t="n">
        <v>40.6</v>
      </c>
      <c r="F151" s="18" t="n">
        <v>38.5</v>
      </c>
      <c r="G151" s="18" t="n">
        <f aca="false">Table1457[[#This Row],[Clay]]+Table1457[[#This Row],[Silt]]</f>
        <v>79.1</v>
      </c>
      <c r="H151" s="18" t="n">
        <f aca="false">100-Table1457[[#This Row],[Clay2]]-Table1457[[#This Row],[Sand]]</f>
        <v>0</v>
      </c>
      <c r="I151" s="18" t="n">
        <v>41.2</v>
      </c>
      <c r="J151" s="18" t="n">
        <v>16.7</v>
      </c>
      <c r="K151" s="18" t="n">
        <f aca="false">Table1457[[#This Row],[LL]]-Table1457[[#This Row],[PL]]</f>
        <v>24.5</v>
      </c>
      <c r="L151" s="14" t="n">
        <v>8</v>
      </c>
      <c r="M151" s="33"/>
      <c r="N151" s="40" t="n">
        <f aca="false">Table1457[[#This Row],[UCS_std_Soaked_7Days]]</f>
        <v>321.37</v>
      </c>
      <c r="O151" s="14" t="n">
        <v>321.37</v>
      </c>
      <c r="P151" s="33"/>
      <c r="Q151" s="14" t="n">
        <v>545.63</v>
      </c>
      <c r="R151" s="14"/>
      <c r="S151" s="19" t="s">
        <v>63</v>
      </c>
      <c r="AMH151" s="0"/>
      <c r="AMI151" s="0"/>
      <c r="AMJ151" s="0"/>
    </row>
    <row r="152" s="20" customFormat="true" ht="14.9" hidden="false" customHeight="false" outlineLevel="0" collapsed="false">
      <c r="A152" s="14"/>
      <c r="B152" s="14" t="s">
        <v>32</v>
      </c>
      <c r="C152" s="14" t="n">
        <v>0.06</v>
      </c>
      <c r="D152" s="18" t="n">
        <v>20.9</v>
      </c>
      <c r="E152" s="18" t="n">
        <v>40.6</v>
      </c>
      <c r="F152" s="18" t="n">
        <v>38.5</v>
      </c>
      <c r="G152" s="18" t="n">
        <f aca="false">Table1457[[#This Row],[Clay]]+Table1457[[#This Row],[Silt]]</f>
        <v>79.1</v>
      </c>
      <c r="H152" s="18" t="n">
        <f aca="false">100-Table1457[[#This Row],[Clay2]]-Table1457[[#This Row],[Sand]]</f>
        <v>0</v>
      </c>
      <c r="I152" s="18" t="n">
        <v>41.2</v>
      </c>
      <c r="J152" s="18" t="n">
        <v>16.7</v>
      </c>
      <c r="K152" s="18" t="n">
        <f aca="false">Table1457[[#This Row],[LL]]-Table1457[[#This Row],[PL]]</f>
        <v>24.5</v>
      </c>
      <c r="L152" s="14" t="n">
        <v>10</v>
      </c>
      <c r="M152" s="14"/>
      <c r="N152" s="40" t="n">
        <f aca="false">Table1457[[#This Row],[UCS_std_Soaked_7Days]]</f>
        <v>338.46</v>
      </c>
      <c r="O152" s="14" t="n">
        <v>338.46</v>
      </c>
      <c r="P152" s="14"/>
      <c r="Q152" s="14" t="n">
        <v>515.58</v>
      </c>
      <c r="R152" s="14"/>
      <c r="S152" s="19" t="s">
        <v>63</v>
      </c>
      <c r="AMH152" s="0"/>
      <c r="AMI152" s="0"/>
      <c r="AMJ152" s="0"/>
    </row>
    <row r="153" s="20" customFormat="true" ht="14.9" hidden="false" customHeight="false" outlineLevel="0" collapsed="false">
      <c r="A153" s="14"/>
      <c r="B153" s="14" t="s">
        <v>32</v>
      </c>
      <c r="C153" s="14" t="n">
        <v>0.06</v>
      </c>
      <c r="D153" s="18" t="n">
        <v>20.9</v>
      </c>
      <c r="E153" s="18" t="n">
        <v>40.6</v>
      </c>
      <c r="F153" s="18" t="n">
        <v>38.5</v>
      </c>
      <c r="G153" s="18" t="n">
        <f aca="false">Table1457[[#This Row],[Clay]]+Table1457[[#This Row],[Silt]]</f>
        <v>79.1</v>
      </c>
      <c r="H153" s="18" t="n">
        <f aca="false">100-Table1457[[#This Row],[Clay2]]-Table1457[[#This Row],[Sand]]</f>
        <v>0</v>
      </c>
      <c r="I153" s="18" t="n">
        <v>41.2</v>
      </c>
      <c r="J153" s="18" t="n">
        <v>16.7</v>
      </c>
      <c r="K153" s="18" t="n">
        <f aca="false">Table1457[[#This Row],[LL]]-Table1457[[#This Row],[PL]]</f>
        <v>24.5</v>
      </c>
      <c r="L153" s="14" t="n">
        <v>12</v>
      </c>
      <c r="M153" s="14"/>
      <c r="N153" s="40" t="n">
        <f aca="false">Table1457[[#This Row],[UCS_std_Soaked_7Days]]</f>
        <v>276.92</v>
      </c>
      <c r="O153" s="14" t="n">
        <v>276.92</v>
      </c>
      <c r="P153" s="14"/>
      <c r="Q153" s="14" t="n">
        <v>440.4</v>
      </c>
      <c r="R153" s="14"/>
      <c r="S153" s="19" t="s">
        <v>63</v>
      </c>
      <c r="AMH153" s="0"/>
      <c r="AMI153" s="0"/>
      <c r="AMJ153" s="0"/>
    </row>
    <row r="154" s="20" customFormat="true" ht="14.9" hidden="false" customHeight="false" outlineLevel="0" collapsed="false">
      <c r="A154" s="14" t="s">
        <v>64</v>
      </c>
      <c r="B154" s="14" t="s">
        <v>23</v>
      </c>
      <c r="C154" s="14" t="n">
        <v>0.13</v>
      </c>
      <c r="D154" s="18" t="n">
        <v>3</v>
      </c>
      <c r="E154" s="18" t="n">
        <v>36</v>
      </c>
      <c r="F154" s="18" t="n">
        <v>61</v>
      </c>
      <c r="G154" s="18" t="n">
        <f aca="false">Table1457[[#This Row],[Clay]]+Table1457[[#This Row],[Silt]]</f>
        <v>97</v>
      </c>
      <c r="H154" s="18" t="n">
        <f aca="false">100-Table1457[[#This Row],[Clay2]]-Table1457[[#This Row],[Sand]]</f>
        <v>0</v>
      </c>
      <c r="I154" s="18" t="n">
        <v>64.6</v>
      </c>
      <c r="J154" s="18" t="n">
        <v>17.6</v>
      </c>
      <c r="K154" s="18" t="n">
        <f aca="false">Table1457[[#This Row],[LL]]-Table1457[[#This Row],[PL]]</f>
        <v>47</v>
      </c>
      <c r="L154" s="14" t="n">
        <v>4</v>
      </c>
      <c r="M154" s="14"/>
      <c r="N154" s="40" t="n">
        <f aca="false">Table1457[[#This Row],[UCS_std_Soaked_7Days]]</f>
        <v>112.82</v>
      </c>
      <c r="O154" s="14" t="n">
        <v>112.82</v>
      </c>
      <c r="P154" s="14"/>
      <c r="Q154" s="14" t="n">
        <v>134.13</v>
      </c>
      <c r="R154" s="14"/>
      <c r="S154" s="19" t="s">
        <v>63</v>
      </c>
      <c r="AMH154" s="0"/>
      <c r="AMI154" s="0"/>
      <c r="AMJ154" s="0"/>
    </row>
    <row r="155" s="20" customFormat="true" ht="14.9" hidden="false" customHeight="false" outlineLevel="0" collapsed="false">
      <c r="A155" s="14"/>
      <c r="B155" s="14" t="s">
        <v>23</v>
      </c>
      <c r="C155" s="14" t="n">
        <v>0.13</v>
      </c>
      <c r="D155" s="18" t="n">
        <v>3</v>
      </c>
      <c r="E155" s="18" t="n">
        <v>36</v>
      </c>
      <c r="F155" s="18" t="n">
        <v>61</v>
      </c>
      <c r="G155" s="18" t="n">
        <f aca="false">Table1457[[#This Row],[Clay]]+Table1457[[#This Row],[Silt]]</f>
        <v>97</v>
      </c>
      <c r="H155" s="18" t="n">
        <f aca="false">100-Table1457[[#This Row],[Clay2]]-Table1457[[#This Row],[Sand]]</f>
        <v>0</v>
      </c>
      <c r="I155" s="18" t="n">
        <v>64.6</v>
      </c>
      <c r="J155" s="18" t="n">
        <v>17.6</v>
      </c>
      <c r="K155" s="18" t="n">
        <f aca="false">Table1457[[#This Row],[LL]]-Table1457[[#This Row],[PL]]</f>
        <v>47</v>
      </c>
      <c r="L155" s="14" t="n">
        <v>6</v>
      </c>
      <c r="M155" s="14"/>
      <c r="N155" s="40" t="n">
        <f aca="false">Table1457[[#This Row],[UCS_std_Soaked_7Days]]</f>
        <v>147.01</v>
      </c>
      <c r="O155" s="14" t="n">
        <v>147.01</v>
      </c>
      <c r="P155" s="14"/>
      <c r="Q155" s="14" t="n">
        <v>225.5</v>
      </c>
      <c r="R155" s="14"/>
      <c r="S155" s="19" t="s">
        <v>63</v>
      </c>
      <c r="AMH155" s="0"/>
      <c r="AMI155" s="0"/>
      <c r="AMJ155" s="0"/>
    </row>
    <row r="156" s="20" customFormat="true" ht="14.9" hidden="false" customHeight="false" outlineLevel="0" collapsed="false">
      <c r="A156" s="14"/>
      <c r="B156" s="14" t="s">
        <v>23</v>
      </c>
      <c r="C156" s="14" t="n">
        <v>0.13</v>
      </c>
      <c r="D156" s="18" t="n">
        <v>3</v>
      </c>
      <c r="E156" s="18" t="n">
        <v>36</v>
      </c>
      <c r="F156" s="18" t="n">
        <v>61</v>
      </c>
      <c r="G156" s="18" t="n">
        <f aca="false">Table1457[[#This Row],[Clay]]+Table1457[[#This Row],[Silt]]</f>
        <v>97</v>
      </c>
      <c r="H156" s="18" t="n">
        <f aca="false">100-Table1457[[#This Row],[Clay2]]-Table1457[[#This Row],[Sand]]</f>
        <v>0</v>
      </c>
      <c r="I156" s="18" t="n">
        <v>64.6</v>
      </c>
      <c r="J156" s="18" t="n">
        <v>17.6</v>
      </c>
      <c r="K156" s="18" t="n">
        <f aca="false">Table1457[[#This Row],[LL]]-Table1457[[#This Row],[PL]]</f>
        <v>47</v>
      </c>
      <c r="L156" s="14" t="n">
        <v>8</v>
      </c>
      <c r="M156" s="14"/>
      <c r="N156" s="40" t="n">
        <f aca="false">Table1457[[#This Row],[UCS_std_Soaked_7Days]]</f>
        <v>167.52</v>
      </c>
      <c r="O156" s="14" t="n">
        <v>167.52</v>
      </c>
      <c r="P156" s="14"/>
      <c r="Q156" s="14" t="n">
        <v>271.74</v>
      </c>
      <c r="R156" s="14"/>
      <c r="S156" s="19" t="s">
        <v>63</v>
      </c>
      <c r="AMH156" s="0"/>
      <c r="AMI156" s="0"/>
      <c r="AMJ156" s="0"/>
    </row>
    <row r="157" s="20" customFormat="true" ht="14.9" hidden="false" customHeight="false" outlineLevel="0" collapsed="false">
      <c r="A157" s="14"/>
      <c r="B157" s="14" t="s">
        <v>23</v>
      </c>
      <c r="C157" s="14" t="n">
        <v>0.13</v>
      </c>
      <c r="D157" s="18" t="n">
        <v>3</v>
      </c>
      <c r="E157" s="18" t="n">
        <v>36</v>
      </c>
      <c r="F157" s="18" t="n">
        <v>61</v>
      </c>
      <c r="G157" s="18" t="n">
        <f aca="false">Table1457[[#This Row],[Clay]]+Table1457[[#This Row],[Silt]]</f>
        <v>97</v>
      </c>
      <c r="H157" s="18" t="n">
        <f aca="false">100-Table1457[[#This Row],[Clay2]]-Table1457[[#This Row],[Sand]]</f>
        <v>0</v>
      </c>
      <c r="I157" s="18" t="n">
        <v>64.6</v>
      </c>
      <c r="J157" s="18" t="n">
        <v>17.6</v>
      </c>
      <c r="K157" s="18" t="n">
        <f aca="false">Table1457[[#This Row],[LL]]-Table1457[[#This Row],[PL]]</f>
        <v>47</v>
      </c>
      <c r="L157" s="14" t="n">
        <v>10</v>
      </c>
      <c r="M157" s="14"/>
      <c r="N157" s="40" t="n">
        <f aca="false">Table1457[[#This Row],[UCS_std_Soaked_7Days]]</f>
        <v>181.2</v>
      </c>
      <c r="O157" s="14" t="n">
        <v>181.2</v>
      </c>
      <c r="P157" s="14"/>
      <c r="Q157" s="14" t="n">
        <v>321.41</v>
      </c>
      <c r="R157" s="14"/>
      <c r="S157" s="19" t="s">
        <v>63</v>
      </c>
      <c r="AMH157" s="0"/>
      <c r="AMI157" s="0"/>
      <c r="AMJ157" s="0"/>
    </row>
    <row r="158" s="20" customFormat="true" ht="14.9" hidden="false" customHeight="false" outlineLevel="0" collapsed="false">
      <c r="A158" s="14"/>
      <c r="B158" s="14" t="s">
        <v>23</v>
      </c>
      <c r="C158" s="14" t="n">
        <v>0.13</v>
      </c>
      <c r="D158" s="18" t="n">
        <v>3</v>
      </c>
      <c r="E158" s="18" t="n">
        <v>36</v>
      </c>
      <c r="F158" s="18" t="n">
        <v>61</v>
      </c>
      <c r="G158" s="18" t="n">
        <f aca="false">Table1457[[#This Row],[Clay]]+Table1457[[#This Row],[Silt]]</f>
        <v>97</v>
      </c>
      <c r="H158" s="18" t="n">
        <f aca="false">100-Table1457[[#This Row],[Clay2]]-Table1457[[#This Row],[Sand]]</f>
        <v>0</v>
      </c>
      <c r="I158" s="18" t="n">
        <v>64.6</v>
      </c>
      <c r="J158" s="18" t="n">
        <v>17.6</v>
      </c>
      <c r="K158" s="18" t="n">
        <f aca="false">Table1457[[#This Row],[LL]]-Table1457[[#This Row],[PL]]</f>
        <v>47</v>
      </c>
      <c r="L158" s="14" t="n">
        <v>12</v>
      </c>
      <c r="M158" s="14"/>
      <c r="N158" s="40" t="n">
        <f aca="false">Table1457[[#This Row],[UCS_std_Soaked_7Days]]</f>
        <v>194.87</v>
      </c>
      <c r="O158" s="14" t="n">
        <v>194.87</v>
      </c>
      <c r="P158" s="14"/>
      <c r="Q158" s="14" t="n">
        <v>367.61</v>
      </c>
      <c r="R158" s="14"/>
      <c r="S158" s="19" t="s">
        <v>63</v>
      </c>
      <c r="AMH158" s="0"/>
      <c r="AMI158" s="0"/>
      <c r="AMJ158" s="0"/>
    </row>
    <row r="159" s="20" customFormat="true" ht="14.9" hidden="false" customHeight="false" outlineLevel="0" collapsed="false">
      <c r="A159" s="14" t="s">
        <v>65</v>
      </c>
      <c r="B159" s="14" t="s">
        <v>23</v>
      </c>
      <c r="C159" s="14" t="n">
        <v>0.2</v>
      </c>
      <c r="D159" s="18" t="n">
        <v>0.3</v>
      </c>
      <c r="E159" s="18" t="n">
        <v>60.8</v>
      </c>
      <c r="F159" s="18" t="n">
        <v>39</v>
      </c>
      <c r="G159" s="18" t="n">
        <f aca="false">Table1457[[#This Row],[Clay]]+Table1457[[#This Row],[Silt]]</f>
        <v>99.8</v>
      </c>
      <c r="H159" s="18" t="n">
        <f aca="false">100-Table1457[[#This Row],[Clay2]]-Table1457[[#This Row],[Sand]]</f>
        <v>-0.0999999999999972</v>
      </c>
      <c r="I159" s="18" t="n">
        <v>52.1</v>
      </c>
      <c r="J159" s="18" t="n">
        <v>20</v>
      </c>
      <c r="K159" s="18" t="n">
        <f aca="false">Table1457[[#This Row],[LL]]-Table1457[[#This Row],[PL]]</f>
        <v>32.1</v>
      </c>
      <c r="L159" s="14" t="n">
        <v>4</v>
      </c>
      <c r="M159" s="14"/>
      <c r="N159" s="40" t="n">
        <f aca="false">Table1457[[#This Row],[UCS_std_Soaked_7Days]]</f>
        <v>109.4</v>
      </c>
      <c r="O159" s="14" t="n">
        <v>109.4</v>
      </c>
      <c r="P159" s="14"/>
      <c r="Q159" s="14" t="n">
        <v>193.09</v>
      </c>
      <c r="R159" s="14"/>
      <c r="S159" s="19" t="s">
        <v>63</v>
      </c>
      <c r="AMH159" s="0"/>
      <c r="AMI159" s="0"/>
      <c r="AMJ159" s="0"/>
    </row>
    <row r="160" s="20" customFormat="true" ht="14.9" hidden="false" customHeight="false" outlineLevel="0" collapsed="false">
      <c r="A160" s="14"/>
      <c r="B160" s="14" t="s">
        <v>23</v>
      </c>
      <c r="C160" s="14" t="n">
        <v>0.2</v>
      </c>
      <c r="D160" s="18" t="n">
        <v>0.3</v>
      </c>
      <c r="E160" s="18" t="n">
        <v>60.8</v>
      </c>
      <c r="F160" s="18" t="n">
        <v>39</v>
      </c>
      <c r="G160" s="18" t="n">
        <f aca="false">Table1457[[#This Row],[Clay]]+Table1457[[#This Row],[Silt]]</f>
        <v>99.8</v>
      </c>
      <c r="H160" s="18" t="n">
        <f aca="false">100-Table1457[[#This Row],[Clay2]]-Table1457[[#This Row],[Sand]]</f>
        <v>-0.0999999999999972</v>
      </c>
      <c r="I160" s="18" t="n">
        <v>52.1</v>
      </c>
      <c r="J160" s="18" t="n">
        <v>20</v>
      </c>
      <c r="K160" s="18" t="n">
        <f aca="false">Table1457[[#This Row],[LL]]-Table1457[[#This Row],[PL]]</f>
        <v>32.1</v>
      </c>
      <c r="L160" s="14" t="n">
        <v>6</v>
      </c>
      <c r="M160" s="14"/>
      <c r="N160" s="40" t="n">
        <f aca="false">Table1457[[#This Row],[UCS_std_Soaked_7Days]]</f>
        <v>140.17</v>
      </c>
      <c r="O160" s="14" t="n">
        <v>140.17</v>
      </c>
      <c r="P160" s="14"/>
      <c r="Q160" s="14" t="n">
        <v>294.86</v>
      </c>
      <c r="R160" s="14"/>
      <c r="S160" s="19" t="s">
        <v>63</v>
      </c>
      <c r="AMH160" s="0"/>
      <c r="AMI160" s="0"/>
      <c r="AMJ160" s="0"/>
    </row>
    <row r="161" s="20" customFormat="true" ht="14.9" hidden="false" customHeight="false" outlineLevel="0" collapsed="false">
      <c r="A161" s="14"/>
      <c r="B161" s="14" t="s">
        <v>23</v>
      </c>
      <c r="C161" s="14" t="n">
        <v>0.2</v>
      </c>
      <c r="D161" s="18" t="n">
        <v>0.3</v>
      </c>
      <c r="E161" s="18" t="n">
        <v>60.8</v>
      </c>
      <c r="F161" s="18" t="n">
        <v>39</v>
      </c>
      <c r="G161" s="18" t="n">
        <f aca="false">Table1457[[#This Row],[Clay]]+Table1457[[#This Row],[Silt]]</f>
        <v>99.8</v>
      </c>
      <c r="H161" s="18" t="n">
        <f aca="false">100-Table1457[[#This Row],[Clay2]]-Table1457[[#This Row],[Sand]]</f>
        <v>-0.0999999999999972</v>
      </c>
      <c r="I161" s="18" t="n">
        <v>52.1</v>
      </c>
      <c r="J161" s="18" t="n">
        <v>20</v>
      </c>
      <c r="K161" s="18" t="n">
        <f aca="false">Table1457[[#This Row],[LL]]-Table1457[[#This Row],[PL]]</f>
        <v>32.1</v>
      </c>
      <c r="L161" s="14" t="n">
        <v>8</v>
      </c>
      <c r="M161" s="14"/>
      <c r="N161" s="40" t="n">
        <f aca="false">Table1457[[#This Row],[UCS_std_Soaked_7Days]]</f>
        <v>143.59</v>
      </c>
      <c r="O161" s="14" t="n">
        <v>143.59</v>
      </c>
      <c r="P161" s="14"/>
      <c r="Q161" s="14" t="n">
        <v>316.78</v>
      </c>
      <c r="R161" s="14"/>
      <c r="S161" s="19" t="s">
        <v>63</v>
      </c>
      <c r="AMH161" s="0"/>
      <c r="AMI161" s="0"/>
      <c r="AMJ161" s="0"/>
    </row>
    <row r="162" s="20" customFormat="true" ht="14.9" hidden="false" customHeight="false" outlineLevel="0" collapsed="false">
      <c r="A162" s="14"/>
      <c r="B162" s="14" t="s">
        <v>23</v>
      </c>
      <c r="C162" s="14" t="n">
        <v>0.2</v>
      </c>
      <c r="D162" s="18" t="n">
        <v>0.3</v>
      </c>
      <c r="E162" s="18" t="n">
        <v>60.8</v>
      </c>
      <c r="F162" s="18" t="n">
        <v>39</v>
      </c>
      <c r="G162" s="18" t="n">
        <f aca="false">Table1457[[#This Row],[Clay]]+Table1457[[#This Row],[Silt]]</f>
        <v>99.8</v>
      </c>
      <c r="H162" s="18" t="n">
        <f aca="false">100-Table1457[[#This Row],[Clay2]]-Table1457[[#This Row],[Sand]]</f>
        <v>-0.0999999999999972</v>
      </c>
      <c r="I162" s="18" t="n">
        <v>52.1</v>
      </c>
      <c r="J162" s="18" t="n">
        <v>20</v>
      </c>
      <c r="K162" s="18" t="n">
        <f aca="false">Table1457[[#This Row],[LL]]-Table1457[[#This Row],[PL]]</f>
        <v>32.1</v>
      </c>
      <c r="L162" s="14" t="n">
        <v>10</v>
      </c>
      <c r="M162" s="14"/>
      <c r="N162" s="40" t="n">
        <f aca="false">Table1457[[#This Row],[UCS_std_Soaked_7Days]]</f>
        <v>150.43</v>
      </c>
      <c r="O162" s="14" t="n">
        <v>150.43</v>
      </c>
      <c r="P162" s="14"/>
      <c r="Q162" s="14" t="n">
        <v>335.28</v>
      </c>
      <c r="R162" s="14"/>
      <c r="S162" s="19" t="s">
        <v>63</v>
      </c>
      <c r="AMH162" s="0"/>
      <c r="AMI162" s="0"/>
      <c r="AMJ162" s="0"/>
    </row>
    <row r="163" s="20" customFormat="true" ht="14.9" hidden="false" customHeight="false" outlineLevel="0" collapsed="false">
      <c r="A163" s="14"/>
      <c r="B163" s="14" t="s">
        <v>23</v>
      </c>
      <c r="C163" s="14" t="n">
        <v>0.2</v>
      </c>
      <c r="D163" s="18" t="n">
        <v>0.3</v>
      </c>
      <c r="E163" s="18" t="n">
        <v>60.8</v>
      </c>
      <c r="F163" s="18" t="n">
        <v>39</v>
      </c>
      <c r="G163" s="18" t="n">
        <f aca="false">Table1457[[#This Row],[Clay]]+Table1457[[#This Row],[Silt]]</f>
        <v>99.8</v>
      </c>
      <c r="H163" s="18" t="n">
        <f aca="false">100-Table1457[[#This Row],[Clay2]]-Table1457[[#This Row],[Sand]]</f>
        <v>-0.0999999999999972</v>
      </c>
      <c r="I163" s="18" t="n">
        <v>52.1</v>
      </c>
      <c r="J163" s="18" t="n">
        <v>20</v>
      </c>
      <c r="K163" s="18" t="n">
        <f aca="false">Table1457[[#This Row],[LL]]-Table1457[[#This Row],[PL]]</f>
        <v>32.1</v>
      </c>
      <c r="L163" s="14" t="n">
        <v>12</v>
      </c>
      <c r="M163" s="14"/>
      <c r="N163" s="40" t="n">
        <f aca="false">Table1457[[#This Row],[UCS_std_Soaked_7Days]]</f>
        <v>153.85</v>
      </c>
      <c r="O163" s="14" t="n">
        <v>153.85</v>
      </c>
      <c r="P163" s="14"/>
      <c r="Q163" s="14" t="n">
        <v>367.65</v>
      </c>
      <c r="R163" s="14"/>
      <c r="S163" s="19" t="s">
        <v>63</v>
      </c>
      <c r="AMH163" s="0"/>
      <c r="AMI163" s="0"/>
      <c r="AMJ163" s="0"/>
    </row>
    <row r="164" s="20" customFormat="true" ht="14.9" hidden="false" customHeight="false" outlineLevel="0" collapsed="false">
      <c r="A164" s="14" t="s">
        <v>66</v>
      </c>
      <c r="B164" s="14" t="s">
        <v>32</v>
      </c>
      <c r="C164" s="14" t="n">
        <v>0.64</v>
      </c>
      <c r="D164" s="18" t="n">
        <v>7</v>
      </c>
      <c r="E164" s="18" t="n">
        <v>36</v>
      </c>
      <c r="F164" s="18" t="n">
        <v>57</v>
      </c>
      <c r="G164" s="18" t="n">
        <f aca="false">Table1457[[#This Row],[Clay]]+Table1457[[#This Row],[Silt]]</f>
        <v>93</v>
      </c>
      <c r="H164" s="18" t="n">
        <f aca="false">100-Table1457[[#This Row],[Clay2]]-Table1457[[#This Row],[Sand]]</f>
        <v>0</v>
      </c>
      <c r="I164" s="18" t="n">
        <v>44</v>
      </c>
      <c r="J164" s="18" t="n">
        <v>21.1</v>
      </c>
      <c r="K164" s="18" t="n">
        <f aca="false">Table1457[[#This Row],[LL]]-Table1457[[#This Row],[PL]]</f>
        <v>22.9</v>
      </c>
      <c r="L164" s="14" t="n">
        <v>4</v>
      </c>
      <c r="M164" s="14"/>
      <c r="N164" s="40" t="n">
        <f aca="false">Table1457[[#This Row],[UCS_std_Soaked_7Days]]</f>
        <v>138.09</v>
      </c>
      <c r="O164" s="14" t="n">
        <v>138.09</v>
      </c>
      <c r="P164" s="14"/>
      <c r="Q164" s="14" t="n">
        <v>233.61</v>
      </c>
      <c r="R164" s="14"/>
      <c r="S164" s="19" t="s">
        <v>63</v>
      </c>
      <c r="AMH164" s="0"/>
      <c r="AMI164" s="0"/>
      <c r="AMJ164" s="0"/>
    </row>
    <row r="165" s="20" customFormat="true" ht="14.9" hidden="false" customHeight="false" outlineLevel="0" collapsed="false">
      <c r="A165" s="14"/>
      <c r="B165" s="14" t="s">
        <v>32</v>
      </c>
      <c r="C165" s="14" t="n">
        <v>0.64</v>
      </c>
      <c r="D165" s="18" t="n">
        <v>7</v>
      </c>
      <c r="E165" s="18" t="n">
        <v>36</v>
      </c>
      <c r="F165" s="18" t="n">
        <v>57</v>
      </c>
      <c r="G165" s="18" t="n">
        <f aca="false">Table1457[[#This Row],[Clay]]+Table1457[[#This Row],[Silt]]</f>
        <v>93</v>
      </c>
      <c r="H165" s="18" t="n">
        <f aca="false">100-Table1457[[#This Row],[Clay2]]-Table1457[[#This Row],[Sand]]</f>
        <v>0</v>
      </c>
      <c r="I165" s="18" t="n">
        <v>44</v>
      </c>
      <c r="J165" s="18" t="n">
        <v>21.1</v>
      </c>
      <c r="K165" s="18" t="n">
        <f aca="false">Table1457[[#This Row],[LL]]-Table1457[[#This Row],[PL]]</f>
        <v>22.9</v>
      </c>
      <c r="L165" s="14" t="n">
        <v>6</v>
      </c>
      <c r="M165" s="14"/>
      <c r="N165" s="40" t="n">
        <f aca="false">Table1457[[#This Row],[UCS_std_Soaked_7Days]]</f>
        <v>139.82</v>
      </c>
      <c r="O165" s="14" t="n">
        <v>139.82</v>
      </c>
      <c r="P165" s="14"/>
      <c r="Q165" s="14" t="n">
        <v>226.7</v>
      </c>
      <c r="R165" s="14"/>
      <c r="S165" s="19" t="s">
        <v>63</v>
      </c>
      <c r="AMH165" s="0"/>
      <c r="AMI165" s="0"/>
      <c r="AMJ165" s="0"/>
    </row>
    <row r="166" s="20" customFormat="true" ht="14.9" hidden="false" customHeight="false" outlineLevel="0" collapsed="false">
      <c r="A166" s="14"/>
      <c r="B166" s="14" t="s">
        <v>32</v>
      </c>
      <c r="C166" s="14" t="n">
        <v>0.64</v>
      </c>
      <c r="D166" s="18" t="n">
        <v>7</v>
      </c>
      <c r="E166" s="18" t="n">
        <v>36</v>
      </c>
      <c r="F166" s="18" t="n">
        <v>57</v>
      </c>
      <c r="G166" s="18" t="n">
        <f aca="false">Table1457[[#This Row],[Clay]]+Table1457[[#This Row],[Silt]]</f>
        <v>93</v>
      </c>
      <c r="H166" s="18" t="n">
        <f aca="false">100-Table1457[[#This Row],[Clay2]]-Table1457[[#This Row],[Sand]]</f>
        <v>0</v>
      </c>
      <c r="I166" s="18" t="n">
        <v>44</v>
      </c>
      <c r="J166" s="18" t="n">
        <v>21.1</v>
      </c>
      <c r="K166" s="18" t="n">
        <f aca="false">Table1457[[#This Row],[LL]]-Table1457[[#This Row],[PL]]</f>
        <v>22.9</v>
      </c>
      <c r="L166" s="14" t="n">
        <v>8</v>
      </c>
      <c r="M166" s="14"/>
      <c r="N166" s="40" t="n">
        <f aca="false">Table1457[[#This Row],[UCS_std_Soaked_7Days]]</f>
        <v>129.44</v>
      </c>
      <c r="O166" s="14" t="n">
        <v>129.44</v>
      </c>
      <c r="P166" s="14"/>
      <c r="Q166" s="14" t="n">
        <v>225.7</v>
      </c>
      <c r="R166" s="14"/>
      <c r="S166" s="19" t="s">
        <v>63</v>
      </c>
      <c r="AMH166" s="0"/>
      <c r="AMI166" s="0"/>
      <c r="AMJ166" s="0"/>
    </row>
    <row r="167" s="20" customFormat="true" ht="14.9" hidden="false" customHeight="false" outlineLevel="0" collapsed="false">
      <c r="A167" s="14"/>
      <c r="B167" s="14" t="s">
        <v>32</v>
      </c>
      <c r="C167" s="14" t="n">
        <v>0.64</v>
      </c>
      <c r="D167" s="18" t="n">
        <v>7</v>
      </c>
      <c r="E167" s="18" t="n">
        <v>36</v>
      </c>
      <c r="F167" s="18" t="n">
        <v>57</v>
      </c>
      <c r="G167" s="18" t="n">
        <f aca="false">Table1457[[#This Row],[Clay]]+Table1457[[#This Row],[Silt]]</f>
        <v>93</v>
      </c>
      <c r="H167" s="18" t="n">
        <f aca="false">100-Table1457[[#This Row],[Clay2]]-Table1457[[#This Row],[Sand]]</f>
        <v>0</v>
      </c>
      <c r="I167" s="18" t="n">
        <v>44</v>
      </c>
      <c r="J167" s="18" t="n">
        <v>21.1</v>
      </c>
      <c r="K167" s="18" t="n">
        <f aca="false">Table1457[[#This Row],[LL]]-Table1457[[#This Row],[PL]]</f>
        <v>22.9</v>
      </c>
      <c r="L167" s="14" t="n">
        <v>10</v>
      </c>
      <c r="M167" s="14"/>
      <c r="N167" s="40" t="n">
        <f aca="false">Table1457[[#This Row],[UCS_std_Soaked_7Days]]</f>
        <v>133.26</v>
      </c>
      <c r="O167" s="14" t="n">
        <v>133.26</v>
      </c>
      <c r="P167" s="14"/>
      <c r="Q167" s="14" t="n">
        <v>230.69</v>
      </c>
      <c r="R167" s="14"/>
      <c r="S167" s="19" t="s">
        <v>63</v>
      </c>
      <c r="AMH167" s="0"/>
      <c r="AMI167" s="0"/>
      <c r="AMJ167" s="0"/>
    </row>
    <row r="168" s="20" customFormat="true" ht="14.9" hidden="false" customHeight="false" outlineLevel="0" collapsed="false">
      <c r="A168" s="14"/>
      <c r="B168" s="14" t="s">
        <v>32</v>
      </c>
      <c r="C168" s="14" t="n">
        <v>0.64</v>
      </c>
      <c r="D168" s="18" t="n">
        <v>7</v>
      </c>
      <c r="E168" s="18" t="n">
        <v>36</v>
      </c>
      <c r="F168" s="18" t="n">
        <v>57</v>
      </c>
      <c r="G168" s="18" t="n">
        <f aca="false">Table1457[[#This Row],[Clay]]+Table1457[[#This Row],[Silt]]</f>
        <v>93</v>
      </c>
      <c r="H168" s="18" t="n">
        <f aca="false">100-Table1457[[#This Row],[Clay2]]-Table1457[[#This Row],[Sand]]</f>
        <v>0</v>
      </c>
      <c r="I168" s="18" t="n">
        <v>44</v>
      </c>
      <c r="J168" s="18" t="n">
        <v>21.1</v>
      </c>
      <c r="K168" s="18" t="n">
        <f aca="false">Table1457[[#This Row],[LL]]-Table1457[[#This Row],[PL]]</f>
        <v>22.9</v>
      </c>
      <c r="L168" s="14" t="n">
        <v>12</v>
      </c>
      <c r="M168" s="14"/>
      <c r="N168" s="40" t="n">
        <f aca="false">Table1457[[#This Row],[UCS_std_Soaked_7Days]]</f>
        <v>134.92</v>
      </c>
      <c r="O168" s="14" t="n">
        <v>134.92</v>
      </c>
      <c r="P168" s="14"/>
      <c r="Q168" s="14" t="n">
        <v>231.7</v>
      </c>
      <c r="R168" s="14"/>
      <c r="S168" s="19" t="s">
        <v>63</v>
      </c>
      <c r="AMH168" s="0"/>
      <c r="AMI168" s="0"/>
      <c r="AMJ168" s="0"/>
    </row>
    <row r="169" s="20" customFormat="true" ht="14.9" hidden="false" customHeight="false" outlineLevel="0" collapsed="false">
      <c r="A169" s="14" t="s">
        <v>67</v>
      </c>
      <c r="B169" s="14" t="s">
        <v>32</v>
      </c>
      <c r="C169" s="14" t="n">
        <v>0.7</v>
      </c>
      <c r="D169" s="18" t="n">
        <v>10</v>
      </c>
      <c r="E169" s="18" t="n">
        <v>38</v>
      </c>
      <c r="F169" s="18" t="n">
        <v>52</v>
      </c>
      <c r="G169" s="18" t="n">
        <f aca="false">Table1457[[#This Row],[Clay]]+Table1457[[#This Row],[Silt]]</f>
        <v>90</v>
      </c>
      <c r="H169" s="18" t="n">
        <f aca="false">100-Table1457[[#This Row],[Clay2]]-Table1457[[#This Row],[Sand]]</f>
        <v>0</v>
      </c>
      <c r="I169" s="18" t="n">
        <v>35.5</v>
      </c>
      <c r="J169" s="18" t="n">
        <v>17.5</v>
      </c>
      <c r="K169" s="18" t="n">
        <f aca="false">Table1457[[#This Row],[LL]]-Table1457[[#This Row],[PL]]</f>
        <v>18</v>
      </c>
      <c r="L169" s="14" t="n">
        <v>4</v>
      </c>
      <c r="M169" s="14"/>
      <c r="N169" s="40" t="n">
        <f aca="false">Table1457[[#This Row],[UCS_std_Soaked_7Days]]</f>
        <v>162.3</v>
      </c>
      <c r="O169" s="14" t="n">
        <v>162.3</v>
      </c>
      <c r="P169" s="14"/>
      <c r="Q169" s="14" t="n">
        <v>255.39</v>
      </c>
      <c r="R169" s="14"/>
      <c r="S169" s="19" t="s">
        <v>63</v>
      </c>
      <c r="AMH169" s="0"/>
      <c r="AMI169" s="0"/>
      <c r="AMJ169" s="0"/>
    </row>
    <row r="170" s="20" customFormat="true" ht="14.9" hidden="false" customHeight="false" outlineLevel="0" collapsed="false">
      <c r="A170" s="14"/>
      <c r="B170" s="14" t="s">
        <v>32</v>
      </c>
      <c r="C170" s="14" t="n">
        <v>0.7</v>
      </c>
      <c r="D170" s="18" t="n">
        <v>10</v>
      </c>
      <c r="E170" s="18" t="n">
        <v>38</v>
      </c>
      <c r="F170" s="18" t="n">
        <v>52</v>
      </c>
      <c r="G170" s="18" t="n">
        <f aca="false">Table1457[[#This Row],[Clay]]+Table1457[[#This Row],[Silt]]</f>
        <v>90</v>
      </c>
      <c r="H170" s="18" t="n">
        <f aca="false">100-Table1457[[#This Row],[Clay2]]-Table1457[[#This Row],[Sand]]</f>
        <v>0</v>
      </c>
      <c r="I170" s="18" t="n">
        <v>35.5</v>
      </c>
      <c r="J170" s="18" t="n">
        <v>17.5</v>
      </c>
      <c r="K170" s="18" t="n">
        <f aca="false">Table1457[[#This Row],[LL]]-Table1457[[#This Row],[PL]]</f>
        <v>18</v>
      </c>
      <c r="L170" s="14" t="n">
        <v>6</v>
      </c>
      <c r="M170" s="14"/>
      <c r="N170" s="40" t="n">
        <f aca="false">Table1457[[#This Row],[UCS_std_Soaked_7Days]]</f>
        <v>172.17</v>
      </c>
      <c r="O170" s="14" t="n">
        <v>172.17</v>
      </c>
      <c r="P170" s="14"/>
      <c r="Q170" s="14" t="n">
        <v>270.25</v>
      </c>
      <c r="R170" s="14"/>
      <c r="S170" s="19" t="s">
        <v>63</v>
      </c>
      <c r="AMH170" s="0"/>
      <c r="AMI170" s="0"/>
      <c r="AMJ170" s="0"/>
    </row>
    <row r="171" s="20" customFormat="true" ht="14.9" hidden="false" customHeight="false" outlineLevel="0" collapsed="false">
      <c r="A171" s="14"/>
      <c r="B171" s="14" t="s">
        <v>32</v>
      </c>
      <c r="C171" s="14" t="n">
        <v>0.7</v>
      </c>
      <c r="D171" s="18" t="n">
        <v>10</v>
      </c>
      <c r="E171" s="18" t="n">
        <v>38</v>
      </c>
      <c r="F171" s="18" t="n">
        <v>52</v>
      </c>
      <c r="G171" s="18" t="n">
        <f aca="false">Table1457[[#This Row],[Clay]]+Table1457[[#This Row],[Silt]]</f>
        <v>90</v>
      </c>
      <c r="H171" s="18" t="n">
        <f aca="false">100-Table1457[[#This Row],[Clay2]]-Table1457[[#This Row],[Sand]]</f>
        <v>0</v>
      </c>
      <c r="I171" s="18" t="n">
        <v>35.5</v>
      </c>
      <c r="J171" s="18" t="n">
        <v>17.5</v>
      </c>
      <c r="K171" s="18" t="n">
        <f aca="false">Table1457[[#This Row],[LL]]-Table1457[[#This Row],[PL]]</f>
        <v>18</v>
      </c>
      <c r="L171" s="14" t="n">
        <v>8</v>
      </c>
      <c r="M171" s="14"/>
      <c r="N171" s="40" t="n">
        <f aca="false">Table1457[[#This Row],[UCS_std_Soaked_7Days]]</f>
        <v>161.79</v>
      </c>
      <c r="O171" s="14" t="n">
        <v>161.79</v>
      </c>
      <c r="P171" s="14"/>
      <c r="Q171" s="14" t="n">
        <v>247.52</v>
      </c>
      <c r="R171" s="14"/>
      <c r="S171" s="19" t="s">
        <v>63</v>
      </c>
      <c r="AMH171" s="0"/>
      <c r="AMI171" s="0"/>
      <c r="AMJ171" s="0"/>
    </row>
    <row r="172" s="20" customFormat="true" ht="14.9" hidden="false" customHeight="false" outlineLevel="0" collapsed="false">
      <c r="A172" s="14"/>
      <c r="B172" s="14" t="s">
        <v>32</v>
      </c>
      <c r="C172" s="14" t="n">
        <v>0.7</v>
      </c>
      <c r="D172" s="18" t="n">
        <v>10</v>
      </c>
      <c r="E172" s="18" t="n">
        <v>38</v>
      </c>
      <c r="F172" s="18" t="n">
        <v>52</v>
      </c>
      <c r="G172" s="18" t="n">
        <f aca="false">Table1457[[#This Row],[Clay]]+Table1457[[#This Row],[Silt]]</f>
        <v>90</v>
      </c>
      <c r="H172" s="18" t="n">
        <f aca="false">100-Table1457[[#This Row],[Clay2]]-Table1457[[#This Row],[Sand]]</f>
        <v>0</v>
      </c>
      <c r="I172" s="18" t="n">
        <v>35.5</v>
      </c>
      <c r="J172" s="18" t="n">
        <v>17.5</v>
      </c>
      <c r="K172" s="18" t="n">
        <f aca="false">Table1457[[#This Row],[LL]]-Table1457[[#This Row],[PL]]</f>
        <v>18</v>
      </c>
      <c r="L172" s="14" t="n">
        <v>10</v>
      </c>
      <c r="M172" s="14"/>
      <c r="N172" s="40" t="n">
        <f aca="false">Table1457[[#This Row],[UCS_std_Soaked_7Days]]</f>
        <v>159.45</v>
      </c>
      <c r="O172" s="14" t="n">
        <v>159.45</v>
      </c>
      <c r="P172" s="14"/>
      <c r="Q172" s="14" t="n">
        <v>234.63</v>
      </c>
      <c r="R172" s="14"/>
      <c r="S172" s="19" t="s">
        <v>63</v>
      </c>
      <c r="AMH172" s="0"/>
      <c r="AMI172" s="0"/>
      <c r="AMJ172" s="0"/>
    </row>
    <row r="173" s="20" customFormat="true" ht="14.9" hidden="false" customHeight="false" outlineLevel="0" collapsed="false">
      <c r="A173" s="14"/>
      <c r="B173" s="14" t="s">
        <v>32</v>
      </c>
      <c r="C173" s="14" t="n">
        <v>0.7</v>
      </c>
      <c r="D173" s="18" t="n">
        <v>10</v>
      </c>
      <c r="E173" s="18" t="n">
        <v>38</v>
      </c>
      <c r="F173" s="18" t="n">
        <v>52</v>
      </c>
      <c r="G173" s="18" t="n">
        <f aca="false">Table1457[[#This Row],[Clay]]+Table1457[[#This Row],[Silt]]</f>
        <v>90</v>
      </c>
      <c r="H173" s="18" t="n">
        <f aca="false">100-Table1457[[#This Row],[Clay2]]-Table1457[[#This Row],[Sand]]</f>
        <v>0</v>
      </c>
      <c r="I173" s="18" t="n">
        <v>35.5</v>
      </c>
      <c r="J173" s="18" t="n">
        <v>17.5</v>
      </c>
      <c r="K173" s="18" t="n">
        <f aca="false">Table1457[[#This Row],[LL]]-Table1457[[#This Row],[PL]]</f>
        <v>18</v>
      </c>
      <c r="L173" s="14" t="n">
        <v>12</v>
      </c>
      <c r="M173" s="14"/>
      <c r="N173" s="40" t="n">
        <f aca="false">Table1457[[#This Row],[UCS_std_Soaked_7Days]]</f>
        <v>153.14</v>
      </c>
      <c r="O173" s="14" t="n">
        <v>153.14</v>
      </c>
      <c r="P173" s="14"/>
      <c r="Q173" s="14" t="n">
        <v>203.98</v>
      </c>
      <c r="R173" s="14"/>
      <c r="S173" s="19" t="s">
        <v>63</v>
      </c>
      <c r="AMH173" s="0"/>
      <c r="AMI173" s="0"/>
      <c r="AMJ173" s="0"/>
    </row>
    <row r="174" s="20" customFormat="true" ht="14.9" hidden="false" customHeight="false" outlineLevel="0" collapsed="false">
      <c r="A174" s="14" t="s">
        <v>68</v>
      </c>
      <c r="B174" s="14" t="s">
        <v>32</v>
      </c>
      <c r="C174" s="14" t="n">
        <v>1.54</v>
      </c>
      <c r="D174" s="18" t="n">
        <v>6.4</v>
      </c>
      <c r="E174" s="18" t="n">
        <v>18.6</v>
      </c>
      <c r="F174" s="18" t="n">
        <v>75</v>
      </c>
      <c r="G174" s="18" t="n">
        <f aca="false">Table1457[[#This Row],[Clay]]+Table1457[[#This Row],[Silt]]</f>
        <v>93.6</v>
      </c>
      <c r="H174" s="18" t="n">
        <f aca="false">100-Table1457[[#This Row],[Clay2]]-Table1457[[#This Row],[Sand]]</f>
        <v>0</v>
      </c>
      <c r="I174" s="18" t="n">
        <v>54.8</v>
      </c>
      <c r="J174" s="18" t="n">
        <v>27.1</v>
      </c>
      <c r="K174" s="18" t="n">
        <f aca="false">Table1457[[#This Row],[LL]]-Table1457[[#This Row],[PL]]</f>
        <v>27.7</v>
      </c>
      <c r="L174" s="14" t="n">
        <v>4</v>
      </c>
      <c r="M174" s="14"/>
      <c r="N174" s="40" t="n">
        <f aca="false">Table1457[[#This Row],[UCS_std_Soaked_7Days]]</f>
        <v>105.74</v>
      </c>
      <c r="O174" s="14" t="n">
        <v>105.74</v>
      </c>
      <c r="P174" s="14"/>
      <c r="Q174" s="14" t="n">
        <v>156.4</v>
      </c>
      <c r="R174" s="14"/>
      <c r="S174" s="19" t="s">
        <v>63</v>
      </c>
      <c r="AMH174" s="0"/>
      <c r="AMI174" s="0"/>
      <c r="AMJ174" s="0"/>
    </row>
    <row r="175" s="20" customFormat="true" ht="14.9" hidden="false" customHeight="false" outlineLevel="0" collapsed="false">
      <c r="A175" s="14"/>
      <c r="B175" s="14" t="s">
        <v>32</v>
      </c>
      <c r="C175" s="14" t="n">
        <v>1.54</v>
      </c>
      <c r="D175" s="18" t="n">
        <v>6.4</v>
      </c>
      <c r="E175" s="18" t="n">
        <v>18.6</v>
      </c>
      <c r="F175" s="18" t="n">
        <v>75</v>
      </c>
      <c r="G175" s="18" t="n">
        <f aca="false">Table1457[[#This Row],[Clay]]+Table1457[[#This Row],[Silt]]</f>
        <v>93.6</v>
      </c>
      <c r="H175" s="18" t="n">
        <f aca="false">100-Table1457[[#This Row],[Clay2]]-Table1457[[#This Row],[Sand]]</f>
        <v>0</v>
      </c>
      <c r="I175" s="18" t="n">
        <v>54.8</v>
      </c>
      <c r="J175" s="18" t="n">
        <v>27.1</v>
      </c>
      <c r="K175" s="18" t="n">
        <f aca="false">Table1457[[#This Row],[LL]]-Table1457[[#This Row],[PL]]</f>
        <v>27.7</v>
      </c>
      <c r="L175" s="14" t="n">
        <v>6</v>
      </c>
      <c r="M175" s="14"/>
      <c r="N175" s="40" t="n">
        <f aca="false">Table1457[[#This Row],[UCS_std_Soaked_7Days]]</f>
        <v>133.8</v>
      </c>
      <c r="O175" s="14" t="n">
        <v>133.8</v>
      </c>
      <c r="P175" s="14"/>
      <c r="Q175" s="14" t="n">
        <v>206.9</v>
      </c>
      <c r="R175" s="14"/>
      <c r="S175" s="19" t="s">
        <v>63</v>
      </c>
      <c r="AMH175" s="0"/>
      <c r="AMI175" s="0"/>
      <c r="AMJ175" s="0"/>
    </row>
    <row r="176" s="20" customFormat="true" ht="14.9" hidden="false" customHeight="false" outlineLevel="0" collapsed="false">
      <c r="A176" s="14"/>
      <c r="B176" s="14" t="s">
        <v>32</v>
      </c>
      <c r="C176" s="14" t="n">
        <v>1.54</v>
      </c>
      <c r="D176" s="18" t="n">
        <v>6.4</v>
      </c>
      <c r="E176" s="18" t="n">
        <v>18.6</v>
      </c>
      <c r="F176" s="18" t="n">
        <v>75</v>
      </c>
      <c r="G176" s="18" t="n">
        <f aca="false">Table1457[[#This Row],[Clay]]+Table1457[[#This Row],[Silt]]</f>
        <v>93.6</v>
      </c>
      <c r="H176" s="18" t="n">
        <f aca="false">100-Table1457[[#This Row],[Clay2]]-Table1457[[#This Row],[Sand]]</f>
        <v>0</v>
      </c>
      <c r="I176" s="18" t="n">
        <v>54.8</v>
      </c>
      <c r="J176" s="18" t="n">
        <v>27.1</v>
      </c>
      <c r="K176" s="18" t="n">
        <f aca="false">Table1457[[#This Row],[LL]]-Table1457[[#This Row],[PL]]</f>
        <v>27.7</v>
      </c>
      <c r="L176" s="14" t="n">
        <v>8</v>
      </c>
      <c r="M176" s="14"/>
      <c r="N176" s="40" t="n">
        <f aca="false">Table1457[[#This Row],[UCS_std_Soaked_7Days]]</f>
        <v>123.42</v>
      </c>
      <c r="O176" s="14" t="n">
        <v>123.42</v>
      </c>
      <c r="P176" s="14"/>
      <c r="Q176" s="14" t="n">
        <v>211.87</v>
      </c>
      <c r="R176" s="14"/>
      <c r="S176" s="19" t="s">
        <v>63</v>
      </c>
      <c r="AMH176" s="0"/>
      <c r="AMI176" s="0"/>
      <c r="AMJ176" s="0"/>
    </row>
    <row r="177" s="20" customFormat="true" ht="14.9" hidden="false" customHeight="false" outlineLevel="0" collapsed="false">
      <c r="A177" s="14"/>
      <c r="B177" s="14" t="s">
        <v>32</v>
      </c>
      <c r="C177" s="14" t="n">
        <v>1.54</v>
      </c>
      <c r="D177" s="18" t="n">
        <v>6.4</v>
      </c>
      <c r="E177" s="18" t="n">
        <v>18.6</v>
      </c>
      <c r="F177" s="18" t="n">
        <v>75</v>
      </c>
      <c r="G177" s="18" t="n">
        <f aca="false">Table1457[[#This Row],[Clay]]+Table1457[[#This Row],[Silt]]</f>
        <v>93.6</v>
      </c>
      <c r="H177" s="18" t="n">
        <f aca="false">100-Table1457[[#This Row],[Clay2]]-Table1457[[#This Row],[Sand]]</f>
        <v>0</v>
      </c>
      <c r="I177" s="18" t="n">
        <v>54.8</v>
      </c>
      <c r="J177" s="18" t="n">
        <v>27.1</v>
      </c>
      <c r="K177" s="18" t="n">
        <f aca="false">Table1457[[#This Row],[LL]]-Table1457[[#This Row],[PL]]</f>
        <v>27.7</v>
      </c>
      <c r="L177" s="14" t="n">
        <v>10</v>
      </c>
      <c r="M177" s="14"/>
      <c r="N177" s="40" t="n">
        <f aca="false">Table1457[[#This Row],[UCS_std_Soaked_7Days]]</f>
        <v>127.27</v>
      </c>
      <c r="O177" s="14" t="n">
        <v>127.27</v>
      </c>
      <c r="P177" s="14"/>
      <c r="Q177" s="14" t="n">
        <v>202.95</v>
      </c>
      <c r="R177" s="14"/>
      <c r="S177" s="19" t="s">
        <v>63</v>
      </c>
      <c r="AMH177" s="0"/>
      <c r="AMI177" s="0"/>
      <c r="AMJ177" s="0"/>
    </row>
    <row r="178" s="20" customFormat="true" ht="14.9" hidden="false" customHeight="false" outlineLevel="0" collapsed="false">
      <c r="A178" s="14"/>
      <c r="B178" s="14" t="s">
        <v>32</v>
      </c>
      <c r="C178" s="14" t="n">
        <v>1.54</v>
      </c>
      <c r="D178" s="18" t="n">
        <v>6.4</v>
      </c>
      <c r="E178" s="18" t="n">
        <v>18.6</v>
      </c>
      <c r="F178" s="18" t="n">
        <v>75</v>
      </c>
      <c r="G178" s="18" t="n">
        <f aca="false">Table1457[[#This Row],[Clay]]+Table1457[[#This Row],[Silt]]</f>
        <v>93.6</v>
      </c>
      <c r="H178" s="18" t="n">
        <f aca="false">100-Table1457[[#This Row],[Clay2]]-Table1457[[#This Row],[Sand]]</f>
        <v>0</v>
      </c>
      <c r="I178" s="18" t="n">
        <v>54.8</v>
      </c>
      <c r="J178" s="18" t="n">
        <v>27.1</v>
      </c>
      <c r="K178" s="18" t="n">
        <f aca="false">Table1457[[#This Row],[LL]]-Table1457[[#This Row],[PL]]</f>
        <v>27.7</v>
      </c>
      <c r="L178" s="14" t="n">
        <v>12</v>
      </c>
      <c r="M178" s="14"/>
      <c r="N178" s="40" t="n">
        <f aca="false">Table1457[[#This Row],[UCS_std_Soaked_7Days]]</f>
        <v>127.02</v>
      </c>
      <c r="O178" s="14" t="n">
        <v>127.02</v>
      </c>
      <c r="P178" s="14"/>
      <c r="Q178" s="14" t="n">
        <v>194.08</v>
      </c>
      <c r="R178" s="14"/>
      <c r="S178" s="19" t="s">
        <v>63</v>
      </c>
      <c r="AMH178" s="0"/>
      <c r="AMI178" s="0"/>
      <c r="AMJ178" s="0"/>
    </row>
    <row r="179" s="20" customFormat="true" ht="14.9" hidden="false" customHeight="false" outlineLevel="0" collapsed="false">
      <c r="A179" s="14" t="s">
        <v>69</v>
      </c>
      <c r="B179" s="14" t="s">
        <v>39</v>
      </c>
      <c r="C179" s="14" t="n">
        <v>2.62</v>
      </c>
      <c r="D179" s="18" t="n">
        <v>11</v>
      </c>
      <c r="E179" s="18" t="n">
        <v>37</v>
      </c>
      <c r="F179" s="18" t="n">
        <v>42</v>
      </c>
      <c r="G179" s="18" t="n">
        <f aca="false">Table1457[[#This Row],[Clay]]+Table1457[[#This Row],[Silt]]</f>
        <v>79</v>
      </c>
      <c r="H179" s="18" t="n">
        <f aca="false">100-Table1457[[#This Row],[Clay2]]-Table1457[[#This Row],[Sand]]</f>
        <v>10</v>
      </c>
      <c r="I179" s="18" t="n">
        <v>43.5</v>
      </c>
      <c r="J179" s="18" t="n">
        <v>27</v>
      </c>
      <c r="K179" s="18" t="n">
        <f aca="false">Table1457[[#This Row],[LL]]-Table1457[[#This Row],[PL]]</f>
        <v>16.5</v>
      </c>
      <c r="L179" s="14" t="n">
        <v>4</v>
      </c>
      <c r="M179" s="14"/>
      <c r="N179" s="40" t="n">
        <f aca="false">Table1457[[#This Row],[UCS_std_Soaked_7Days]]</f>
        <v>54.02</v>
      </c>
      <c r="O179" s="14" t="n">
        <v>54.02</v>
      </c>
      <c r="P179" s="14"/>
      <c r="Q179" s="14" t="n">
        <v>59.68</v>
      </c>
      <c r="R179" s="14"/>
      <c r="S179" s="19" t="s">
        <v>63</v>
      </c>
      <c r="AMH179" s="0"/>
      <c r="AMI179" s="0"/>
      <c r="AMJ179" s="0"/>
    </row>
    <row r="180" s="20" customFormat="true" ht="14.9" hidden="false" customHeight="false" outlineLevel="0" collapsed="false">
      <c r="A180" s="14"/>
      <c r="B180" s="14" t="s">
        <v>39</v>
      </c>
      <c r="C180" s="14" t="n">
        <v>2.62</v>
      </c>
      <c r="D180" s="18" t="n">
        <v>11</v>
      </c>
      <c r="E180" s="18" t="n">
        <v>37</v>
      </c>
      <c r="F180" s="18" t="n">
        <v>42</v>
      </c>
      <c r="G180" s="18" t="n">
        <f aca="false">Table1457[[#This Row],[Clay]]+Table1457[[#This Row],[Silt]]</f>
        <v>79</v>
      </c>
      <c r="H180" s="18" t="n">
        <f aca="false">100-Table1457[[#This Row],[Clay2]]-Table1457[[#This Row],[Sand]]</f>
        <v>10</v>
      </c>
      <c r="I180" s="18" t="n">
        <v>43.5</v>
      </c>
      <c r="J180" s="18" t="n">
        <v>27</v>
      </c>
      <c r="K180" s="18" t="n">
        <f aca="false">Table1457[[#This Row],[LL]]-Table1457[[#This Row],[PL]]</f>
        <v>16.5</v>
      </c>
      <c r="L180" s="14" t="n">
        <v>6</v>
      </c>
      <c r="M180" s="14"/>
      <c r="N180" s="40" t="n">
        <f aca="false">Table1457[[#This Row],[UCS_std_Soaked_7Days]]</f>
        <v>66.51</v>
      </c>
      <c r="O180" s="14" t="n">
        <v>66.51</v>
      </c>
      <c r="P180" s="14"/>
      <c r="Q180" s="14" t="n">
        <v>88.27</v>
      </c>
      <c r="R180" s="14"/>
      <c r="S180" s="19" t="s">
        <v>63</v>
      </c>
      <c r="AMH180" s="0"/>
      <c r="AMI180" s="0"/>
      <c r="AMJ180" s="0"/>
    </row>
    <row r="181" s="20" customFormat="true" ht="14.9" hidden="false" customHeight="false" outlineLevel="0" collapsed="false">
      <c r="A181" s="14"/>
      <c r="B181" s="14" t="s">
        <v>39</v>
      </c>
      <c r="C181" s="14" t="n">
        <v>2.62</v>
      </c>
      <c r="D181" s="18" t="n">
        <v>11</v>
      </c>
      <c r="E181" s="18" t="n">
        <v>37</v>
      </c>
      <c r="F181" s="18" t="n">
        <v>42</v>
      </c>
      <c r="G181" s="18" t="n">
        <f aca="false">Table1457[[#This Row],[Clay]]+Table1457[[#This Row],[Silt]]</f>
        <v>79</v>
      </c>
      <c r="H181" s="18" t="n">
        <f aca="false">100-Table1457[[#This Row],[Clay2]]-Table1457[[#This Row],[Sand]]</f>
        <v>10</v>
      </c>
      <c r="I181" s="18" t="n">
        <v>43.5</v>
      </c>
      <c r="J181" s="18" t="n">
        <v>27</v>
      </c>
      <c r="K181" s="18" t="n">
        <f aca="false">Table1457[[#This Row],[LL]]-Table1457[[#This Row],[PL]]</f>
        <v>16.5</v>
      </c>
      <c r="L181" s="14" t="n">
        <v>8</v>
      </c>
      <c r="M181" s="14"/>
      <c r="N181" s="40" t="n">
        <f aca="false">Table1457[[#This Row],[UCS_std_Soaked_7Days]]</f>
        <v>79.01</v>
      </c>
      <c r="O181" s="14" t="n">
        <v>79.01</v>
      </c>
      <c r="P181" s="14"/>
      <c r="Q181" s="14" t="n">
        <v>121.85</v>
      </c>
      <c r="R181" s="14"/>
      <c r="S181" s="19" t="s">
        <v>63</v>
      </c>
      <c r="AMH181" s="0"/>
      <c r="AMI181" s="0"/>
      <c r="AMJ181" s="0"/>
    </row>
    <row r="182" s="20" customFormat="true" ht="14.9" hidden="false" customHeight="false" outlineLevel="0" collapsed="false">
      <c r="A182" s="14"/>
      <c r="B182" s="14" t="s">
        <v>39</v>
      </c>
      <c r="C182" s="14" t="n">
        <v>2.62</v>
      </c>
      <c r="D182" s="18" t="n">
        <v>11</v>
      </c>
      <c r="E182" s="18" t="n">
        <v>37</v>
      </c>
      <c r="F182" s="18" t="n">
        <v>42</v>
      </c>
      <c r="G182" s="18" t="n">
        <f aca="false">Table1457[[#This Row],[Clay]]+Table1457[[#This Row],[Silt]]</f>
        <v>79</v>
      </c>
      <c r="H182" s="18" t="n">
        <f aca="false">100-Table1457[[#This Row],[Clay2]]-Table1457[[#This Row],[Sand]]</f>
        <v>10</v>
      </c>
      <c r="I182" s="18" t="n">
        <v>43.5</v>
      </c>
      <c r="J182" s="18" t="n">
        <v>27</v>
      </c>
      <c r="K182" s="18" t="n">
        <f aca="false">Table1457[[#This Row],[LL]]-Table1457[[#This Row],[PL]]</f>
        <v>16.5</v>
      </c>
      <c r="L182" s="14" t="n">
        <v>10</v>
      </c>
      <c r="M182" s="14"/>
      <c r="N182" s="40" t="n">
        <f aca="false">Table1457[[#This Row],[UCS_std_Soaked_7Days]]</f>
        <v>84.25</v>
      </c>
      <c r="O182" s="14" t="n">
        <v>84.25</v>
      </c>
      <c r="P182" s="14"/>
      <c r="Q182" s="14" t="n">
        <v>152.81</v>
      </c>
      <c r="R182" s="14"/>
      <c r="S182" s="19" t="s">
        <v>63</v>
      </c>
      <c r="AMH182" s="0"/>
      <c r="AMI182" s="0"/>
      <c r="AMJ182" s="0"/>
    </row>
    <row r="183" s="20" customFormat="true" ht="14.9" hidden="false" customHeight="false" outlineLevel="0" collapsed="false">
      <c r="A183" s="14"/>
      <c r="B183" s="14" t="s">
        <v>39</v>
      </c>
      <c r="C183" s="14" t="n">
        <v>2.62</v>
      </c>
      <c r="D183" s="18" t="n">
        <v>11</v>
      </c>
      <c r="E183" s="18" t="n">
        <v>37</v>
      </c>
      <c r="F183" s="18" t="n">
        <v>42</v>
      </c>
      <c r="G183" s="18" t="n">
        <f aca="false">Table1457[[#This Row],[Clay]]+Table1457[[#This Row],[Silt]]</f>
        <v>79</v>
      </c>
      <c r="H183" s="18" t="n">
        <f aca="false">100-Table1457[[#This Row],[Clay2]]-Table1457[[#This Row],[Sand]]</f>
        <v>10</v>
      </c>
      <c r="I183" s="18" t="n">
        <v>43.5</v>
      </c>
      <c r="J183" s="18" t="n">
        <v>27</v>
      </c>
      <c r="K183" s="18" t="n">
        <f aca="false">Table1457[[#This Row],[LL]]-Table1457[[#This Row],[PL]]</f>
        <v>16.5</v>
      </c>
      <c r="L183" s="14" t="n">
        <v>12</v>
      </c>
      <c r="M183" s="14"/>
      <c r="N183" s="40" t="n">
        <f aca="false">Table1457[[#This Row],[UCS_std_Soaked_7Days]]</f>
        <v>87.09</v>
      </c>
      <c r="O183" s="14" t="n">
        <v>87.09</v>
      </c>
      <c r="P183" s="14"/>
      <c r="Q183" s="14" t="n">
        <v>181.41</v>
      </c>
      <c r="R183" s="14"/>
      <c r="S183" s="19" t="s">
        <v>63</v>
      </c>
      <c r="AMH183" s="0"/>
      <c r="AMI183" s="0"/>
      <c r="AMJ183" s="0"/>
    </row>
    <row r="184" s="20" customFormat="true" ht="14.9" hidden="false" customHeight="false" outlineLevel="0" collapsed="false">
      <c r="A184" s="14" t="s">
        <v>70</v>
      </c>
      <c r="B184" s="14" t="s">
        <v>23</v>
      </c>
      <c r="C184" s="14" t="n">
        <v>0.1</v>
      </c>
      <c r="D184" s="18" t="n">
        <v>45.3</v>
      </c>
      <c r="E184" s="18" t="n">
        <v>18.3</v>
      </c>
      <c r="F184" s="18" t="n">
        <v>36.5</v>
      </c>
      <c r="G184" s="18" t="n">
        <f aca="false">Table1457[[#This Row],[Clay]]+Table1457[[#This Row],[Silt]]</f>
        <v>54.8</v>
      </c>
      <c r="H184" s="18" t="n">
        <f aca="false">100-Table1457[[#This Row],[Clay2]]-Table1457[[#This Row],[Sand]]</f>
        <v>-0.0999999999999943</v>
      </c>
      <c r="I184" s="18" t="n">
        <v>51</v>
      </c>
      <c r="J184" s="18" t="n">
        <v>25.5</v>
      </c>
      <c r="K184" s="18" t="n">
        <f aca="false">Table1457[[#This Row],[LL]]-Table1457[[#This Row],[PL]]</f>
        <v>25.5</v>
      </c>
      <c r="L184" s="14" t="n">
        <v>4</v>
      </c>
      <c r="M184" s="14"/>
      <c r="N184" s="40" t="n">
        <f aca="false">Table1457[[#This Row],[UCS_std_Soaked_7Days]]</f>
        <v>145.96</v>
      </c>
      <c r="O184" s="14" t="n">
        <v>145.96</v>
      </c>
      <c r="P184" s="14"/>
      <c r="Q184" s="14" t="n">
        <v>245.83</v>
      </c>
      <c r="R184" s="14"/>
      <c r="S184" s="19" t="s">
        <v>63</v>
      </c>
      <c r="AMH184" s="0"/>
      <c r="AMI184" s="0"/>
      <c r="AMJ184" s="0"/>
    </row>
    <row r="185" s="20" customFormat="true" ht="14.9" hidden="false" customHeight="false" outlineLevel="0" collapsed="false">
      <c r="A185" s="14"/>
      <c r="B185" s="14" t="s">
        <v>23</v>
      </c>
      <c r="C185" s="14" t="n">
        <v>0.1</v>
      </c>
      <c r="D185" s="18" t="n">
        <v>45.3</v>
      </c>
      <c r="E185" s="18" t="n">
        <v>18.3</v>
      </c>
      <c r="F185" s="18" t="n">
        <v>36.5</v>
      </c>
      <c r="G185" s="18" t="n">
        <f aca="false">Table1457[[#This Row],[Clay]]+Table1457[[#This Row],[Silt]]</f>
        <v>54.8</v>
      </c>
      <c r="H185" s="18" t="n">
        <f aca="false">100-Table1457[[#This Row],[Clay2]]-Table1457[[#This Row],[Sand]]</f>
        <v>-0.0999999999999943</v>
      </c>
      <c r="I185" s="18" t="n">
        <v>51</v>
      </c>
      <c r="J185" s="18" t="n">
        <v>25.5</v>
      </c>
      <c r="K185" s="18" t="n">
        <f aca="false">Table1457[[#This Row],[LL]]-Table1457[[#This Row],[PL]]</f>
        <v>25.5</v>
      </c>
      <c r="L185" s="14" t="n">
        <v>6</v>
      </c>
      <c r="M185" s="14"/>
      <c r="N185" s="40" t="n">
        <f aca="false">Table1457[[#This Row],[UCS_std_Soaked_7Days]]</f>
        <v>148.79</v>
      </c>
      <c r="O185" s="14" t="n">
        <v>148.79</v>
      </c>
      <c r="P185" s="14"/>
      <c r="Q185" s="14" t="n">
        <v>323.47</v>
      </c>
      <c r="R185" s="14"/>
      <c r="S185" s="19" t="s">
        <v>63</v>
      </c>
      <c r="AMH185" s="0"/>
      <c r="AMI185" s="0"/>
      <c r="AMJ185" s="0"/>
    </row>
    <row r="186" s="20" customFormat="true" ht="14.9" hidden="false" customHeight="false" outlineLevel="0" collapsed="false">
      <c r="A186" s="14"/>
      <c r="B186" s="14" t="s">
        <v>23</v>
      </c>
      <c r="C186" s="14" t="n">
        <v>0.1</v>
      </c>
      <c r="D186" s="18" t="n">
        <v>45.3</v>
      </c>
      <c r="E186" s="18" t="n">
        <v>18.3</v>
      </c>
      <c r="F186" s="18" t="n">
        <v>36.5</v>
      </c>
      <c r="G186" s="18" t="n">
        <f aca="false">Table1457[[#This Row],[Clay]]+Table1457[[#This Row],[Silt]]</f>
        <v>54.8</v>
      </c>
      <c r="H186" s="18" t="n">
        <f aca="false">100-Table1457[[#This Row],[Clay2]]-Table1457[[#This Row],[Sand]]</f>
        <v>-0.0999999999999943</v>
      </c>
      <c r="I186" s="18" t="n">
        <v>51</v>
      </c>
      <c r="J186" s="18" t="n">
        <v>25.5</v>
      </c>
      <c r="K186" s="18" t="n">
        <f aca="false">Table1457[[#This Row],[LL]]-Table1457[[#This Row],[PL]]</f>
        <v>25.5</v>
      </c>
      <c r="L186" s="14" t="n">
        <v>8</v>
      </c>
      <c r="M186" s="14"/>
      <c r="N186" s="40" t="n">
        <f aca="false">Table1457[[#This Row],[UCS_std_Soaked_7Days]]</f>
        <v>149.19</v>
      </c>
      <c r="O186" s="14" t="n">
        <v>149.19</v>
      </c>
      <c r="P186" s="14"/>
      <c r="Q186" s="14" t="n">
        <v>337.44</v>
      </c>
      <c r="R186" s="14"/>
      <c r="S186" s="19" t="s">
        <v>63</v>
      </c>
      <c r="AMH186" s="0"/>
      <c r="AMI186" s="0"/>
      <c r="AMJ186" s="0"/>
    </row>
    <row r="187" s="20" customFormat="true" ht="14.9" hidden="false" customHeight="false" outlineLevel="0" collapsed="false">
      <c r="A187" s="14"/>
      <c r="B187" s="14" t="s">
        <v>23</v>
      </c>
      <c r="C187" s="14" t="n">
        <v>0.1</v>
      </c>
      <c r="D187" s="18" t="n">
        <v>45.3</v>
      </c>
      <c r="E187" s="18" t="n">
        <v>18.3</v>
      </c>
      <c r="F187" s="18" t="n">
        <v>36.5</v>
      </c>
      <c r="G187" s="18" t="n">
        <f aca="false">Table1457[[#This Row],[Clay]]+Table1457[[#This Row],[Silt]]</f>
        <v>54.8</v>
      </c>
      <c r="H187" s="18" t="n">
        <f aca="false">100-Table1457[[#This Row],[Clay2]]-Table1457[[#This Row],[Sand]]</f>
        <v>-0.0999999999999943</v>
      </c>
      <c r="I187" s="18" t="n">
        <v>51</v>
      </c>
      <c r="J187" s="18" t="n">
        <v>25.5</v>
      </c>
      <c r="K187" s="18" t="n">
        <f aca="false">Table1457[[#This Row],[LL]]-Table1457[[#This Row],[PL]]</f>
        <v>25.5</v>
      </c>
      <c r="L187" s="14" t="n">
        <v>10</v>
      </c>
      <c r="M187" s="14"/>
      <c r="N187" s="40" t="n">
        <f aca="false">Table1457[[#This Row],[UCS_std_Soaked_7Days]]</f>
        <v>156.85</v>
      </c>
      <c r="O187" s="14" t="n">
        <v>156.85</v>
      </c>
      <c r="P187" s="14"/>
      <c r="Q187" s="14" t="n">
        <v>348.77</v>
      </c>
      <c r="R187" s="14"/>
      <c r="S187" s="19" t="s">
        <v>63</v>
      </c>
      <c r="AMH187" s="0"/>
      <c r="AMI187" s="0"/>
      <c r="AMJ187" s="0"/>
    </row>
    <row r="188" s="20" customFormat="true" ht="14.9" hidden="false" customHeight="false" outlineLevel="0" collapsed="false">
      <c r="A188" s="14"/>
      <c r="B188" s="14" t="s">
        <v>23</v>
      </c>
      <c r="C188" s="14" t="n">
        <v>0.1</v>
      </c>
      <c r="D188" s="18" t="n">
        <v>45.3</v>
      </c>
      <c r="E188" s="18" t="n">
        <v>18.3</v>
      </c>
      <c r="F188" s="18" t="n">
        <v>36.5</v>
      </c>
      <c r="G188" s="18" t="n">
        <f aca="false">Table1457[[#This Row],[Clay]]+Table1457[[#This Row],[Silt]]</f>
        <v>54.8</v>
      </c>
      <c r="H188" s="18" t="n">
        <f aca="false">100-Table1457[[#This Row],[Clay2]]-Table1457[[#This Row],[Sand]]</f>
        <v>-0.0999999999999943</v>
      </c>
      <c r="I188" s="18" t="n">
        <v>51</v>
      </c>
      <c r="J188" s="18" t="n">
        <v>25.5</v>
      </c>
      <c r="K188" s="18" t="n">
        <f aca="false">Table1457[[#This Row],[LL]]-Table1457[[#This Row],[PL]]</f>
        <v>25.5</v>
      </c>
      <c r="L188" s="14" t="n">
        <v>12</v>
      </c>
      <c r="M188" s="14"/>
      <c r="N188" s="40" t="n">
        <f aca="false">Table1457[[#This Row],[UCS_std_Soaked_7Days]]</f>
        <v>157.25</v>
      </c>
      <c r="O188" s="14" t="n">
        <v>157.25</v>
      </c>
      <c r="P188" s="14"/>
      <c r="Q188" s="14" t="n">
        <v>325.94</v>
      </c>
      <c r="R188" s="14"/>
      <c r="S188" s="19" t="s">
        <v>63</v>
      </c>
      <c r="AMH188" s="0"/>
      <c r="AMI188" s="0"/>
      <c r="AMJ188" s="0"/>
    </row>
    <row r="189" s="20" customFormat="true" ht="14.9" hidden="false" customHeight="false" outlineLevel="0" collapsed="false">
      <c r="A189" s="14" t="s">
        <v>71</v>
      </c>
      <c r="B189" s="14" t="s">
        <v>53</v>
      </c>
      <c r="C189" s="14" t="n">
        <v>0.02</v>
      </c>
      <c r="D189" s="18" t="n">
        <v>38.4</v>
      </c>
      <c r="E189" s="18" t="n">
        <v>34.4</v>
      </c>
      <c r="F189" s="18" t="n">
        <v>7</v>
      </c>
      <c r="G189" s="18" t="n">
        <f aca="false">Table1457[[#This Row],[Clay]]+Table1457[[#This Row],[Silt]]</f>
        <v>41.4</v>
      </c>
      <c r="H189" s="18" t="n">
        <f aca="false">100-Table1457[[#This Row],[Clay2]]-Table1457[[#This Row],[Sand]]</f>
        <v>20.2</v>
      </c>
      <c r="I189" s="18" t="n">
        <v>43</v>
      </c>
      <c r="J189" s="18" t="n">
        <v>0</v>
      </c>
      <c r="K189" s="18" t="n">
        <v>0</v>
      </c>
      <c r="L189" s="14" t="n">
        <v>4</v>
      </c>
      <c r="M189" s="14"/>
      <c r="N189" s="40" t="n">
        <f aca="false">Table1457[[#This Row],[UCS_std_Soaked_7Days]]</f>
        <v>194.32</v>
      </c>
      <c r="O189" s="14" t="n">
        <v>194.32</v>
      </c>
      <c r="P189" s="14"/>
      <c r="Q189" s="14" t="n">
        <v>267.92</v>
      </c>
      <c r="R189" s="14"/>
      <c r="S189" s="19" t="s">
        <v>63</v>
      </c>
      <c r="AMH189" s="0"/>
      <c r="AMI189" s="0"/>
      <c r="AMJ189" s="0"/>
    </row>
    <row r="190" s="20" customFormat="true" ht="14.9" hidden="false" customHeight="false" outlineLevel="0" collapsed="false">
      <c r="A190" s="14"/>
      <c r="B190" s="14" t="s">
        <v>53</v>
      </c>
      <c r="C190" s="14" t="n">
        <v>0.02</v>
      </c>
      <c r="D190" s="18" t="n">
        <v>38.4</v>
      </c>
      <c r="E190" s="18" t="n">
        <v>34.4</v>
      </c>
      <c r="F190" s="18" t="n">
        <v>7</v>
      </c>
      <c r="G190" s="18" t="n">
        <f aca="false">Table1457[[#This Row],[Clay]]+Table1457[[#This Row],[Silt]]</f>
        <v>41.4</v>
      </c>
      <c r="H190" s="18" t="n">
        <f aca="false">100-Table1457[[#This Row],[Clay2]]-Table1457[[#This Row],[Sand]]</f>
        <v>20.2</v>
      </c>
      <c r="I190" s="18" t="n">
        <v>43</v>
      </c>
      <c r="J190" s="18" t="n">
        <v>0</v>
      </c>
      <c r="K190" s="18" t="n">
        <v>0</v>
      </c>
      <c r="L190" s="14" t="n">
        <v>6</v>
      </c>
      <c r="M190" s="14"/>
      <c r="N190" s="40" t="n">
        <f aca="false">Table1457[[#This Row],[UCS_std_Soaked_7Days]]</f>
        <v>247.97</v>
      </c>
      <c r="O190" s="14" t="n">
        <v>247.97</v>
      </c>
      <c r="P190" s="14"/>
      <c r="Q190" s="14" t="n">
        <v>365.13</v>
      </c>
      <c r="R190" s="14"/>
      <c r="S190" s="19" t="s">
        <v>63</v>
      </c>
      <c r="AMH190" s="0"/>
      <c r="AMI190" s="0"/>
      <c r="AMJ190" s="0"/>
    </row>
    <row r="191" s="20" customFormat="true" ht="14.9" hidden="false" customHeight="false" outlineLevel="0" collapsed="false">
      <c r="A191" s="14"/>
      <c r="B191" s="14" t="s">
        <v>53</v>
      </c>
      <c r="C191" s="14" t="n">
        <v>0.02</v>
      </c>
      <c r="D191" s="18" t="n">
        <v>38.4</v>
      </c>
      <c r="E191" s="18" t="n">
        <v>34.4</v>
      </c>
      <c r="F191" s="18" t="n">
        <v>7</v>
      </c>
      <c r="G191" s="18" t="n">
        <f aca="false">Table1457[[#This Row],[Clay]]+Table1457[[#This Row],[Silt]]</f>
        <v>41.4</v>
      </c>
      <c r="H191" s="18" t="n">
        <f aca="false">100-Table1457[[#This Row],[Clay2]]-Table1457[[#This Row],[Sand]]</f>
        <v>20.2</v>
      </c>
      <c r="I191" s="18" t="n">
        <v>43</v>
      </c>
      <c r="J191" s="18" t="n">
        <v>0</v>
      </c>
      <c r="K191" s="18" t="n">
        <v>0</v>
      </c>
      <c r="L191" s="14" t="n">
        <v>8</v>
      </c>
      <c r="M191" s="14"/>
      <c r="N191" s="40" t="n">
        <f aca="false">Table1457[[#This Row],[UCS_std_Soaked_7Days]]</f>
        <v>248.38</v>
      </c>
      <c r="O191" s="14" t="n">
        <v>248.38</v>
      </c>
      <c r="P191" s="14"/>
      <c r="Q191" s="14" t="n">
        <v>408.55</v>
      </c>
      <c r="R191" s="14"/>
      <c r="S191" s="19" t="s">
        <v>63</v>
      </c>
      <c r="AMH191" s="0"/>
      <c r="AMI191" s="0"/>
      <c r="AMJ191" s="0"/>
    </row>
    <row r="192" s="20" customFormat="true" ht="14.9" hidden="false" customHeight="false" outlineLevel="0" collapsed="false">
      <c r="A192" s="14"/>
      <c r="B192" s="14" t="s">
        <v>53</v>
      </c>
      <c r="C192" s="14" t="n">
        <v>0.02</v>
      </c>
      <c r="D192" s="18" t="n">
        <v>38.4</v>
      </c>
      <c r="E192" s="18" t="n">
        <v>34.4</v>
      </c>
      <c r="F192" s="18" t="n">
        <v>7</v>
      </c>
      <c r="G192" s="18" t="n">
        <f aca="false">Table1457[[#This Row],[Clay]]+Table1457[[#This Row],[Silt]]</f>
        <v>41.4</v>
      </c>
      <c r="H192" s="18" t="n">
        <f aca="false">100-Table1457[[#This Row],[Clay2]]-Table1457[[#This Row],[Sand]]</f>
        <v>20.2</v>
      </c>
      <c r="I192" s="18" t="n">
        <v>43</v>
      </c>
      <c r="J192" s="18" t="n">
        <v>0</v>
      </c>
      <c r="K192" s="18" t="n">
        <v>0</v>
      </c>
      <c r="L192" s="14" t="n">
        <v>10</v>
      </c>
      <c r="M192" s="14"/>
      <c r="N192" s="40" t="n">
        <f aca="false">Table1457[[#This Row],[UCS_std_Soaked_7Days]]</f>
        <v>214.9</v>
      </c>
      <c r="O192" s="14" t="n">
        <v>214.9</v>
      </c>
      <c r="P192" s="14"/>
      <c r="Q192" s="14" t="n">
        <v>383.15</v>
      </c>
      <c r="R192" s="14"/>
      <c r="S192" s="19" t="s">
        <v>63</v>
      </c>
      <c r="AMH192" s="0"/>
      <c r="AMI192" s="0"/>
      <c r="AMJ192" s="0"/>
    </row>
    <row r="193" s="20" customFormat="true" ht="14.9" hidden="false" customHeight="false" outlineLevel="0" collapsed="false">
      <c r="A193" s="14"/>
      <c r="B193" s="14" t="s">
        <v>53</v>
      </c>
      <c r="C193" s="14" t="n">
        <v>0.02</v>
      </c>
      <c r="D193" s="18" t="n">
        <v>38.4</v>
      </c>
      <c r="E193" s="18" t="n">
        <v>34.4</v>
      </c>
      <c r="F193" s="18" t="n">
        <v>7</v>
      </c>
      <c r="G193" s="18" t="n">
        <f aca="false">Table1457[[#This Row],[Clay]]+Table1457[[#This Row],[Silt]]</f>
        <v>41.4</v>
      </c>
      <c r="H193" s="18" t="n">
        <f aca="false">100-Table1457[[#This Row],[Clay2]]-Table1457[[#This Row],[Sand]]</f>
        <v>20.2</v>
      </c>
      <c r="I193" s="18" t="n">
        <v>43</v>
      </c>
      <c r="J193" s="18" t="n">
        <v>0</v>
      </c>
      <c r="K193" s="18" t="n">
        <v>0</v>
      </c>
      <c r="L193" s="14" t="n">
        <v>12</v>
      </c>
      <c r="M193" s="14"/>
      <c r="N193" s="40" t="n">
        <f aca="false">Table1457[[#This Row],[UCS_std_Soaked_7Days]]</f>
        <v>251.59</v>
      </c>
      <c r="O193" s="14" t="n">
        <v>251.59</v>
      </c>
      <c r="P193" s="14"/>
      <c r="Q193" s="14" t="n">
        <v>465.57</v>
      </c>
      <c r="R193" s="14"/>
      <c r="S193" s="19" t="s">
        <v>63</v>
      </c>
      <c r="AMH193" s="0"/>
      <c r="AMI193" s="0"/>
      <c r="AMJ193" s="0"/>
    </row>
    <row r="194" s="13" customFormat="true" ht="14.9" hidden="false" customHeight="false" outlineLevel="0" collapsed="false">
      <c r="A194" s="41"/>
      <c r="B194" s="8" t="s">
        <v>72</v>
      </c>
      <c r="C194" s="8" t="n">
        <v>0</v>
      </c>
      <c r="D194" s="42" t="n">
        <v>27</v>
      </c>
      <c r="E194" s="42" t="n">
        <v>5</v>
      </c>
      <c r="F194" s="42" t="n">
        <v>10</v>
      </c>
      <c r="G194" s="42" t="n">
        <f aca="false">Table1457[[#This Row],[Clay]]+Table1457[[#This Row],[Silt]]</f>
        <v>15</v>
      </c>
      <c r="H194" s="42" t="n">
        <f aca="false">100-Table1457[[#This Row],[Clay2]]-Table1457[[#This Row],[Sand]]</f>
        <v>58</v>
      </c>
      <c r="I194" s="42" t="n">
        <v>24.6</v>
      </c>
      <c r="J194" s="42" t="n">
        <v>17.2</v>
      </c>
      <c r="K194" s="42" t="n">
        <f aca="false">Table1457[[#This Row],[LL]]-Table1457[[#This Row],[PL]]</f>
        <v>7.4</v>
      </c>
      <c r="L194" s="8" t="n">
        <v>1</v>
      </c>
      <c r="M194" s="8"/>
      <c r="N194" s="43" t="n">
        <f aca="false">Table1457[[#This Row],[UCS_std_Soaked_7Days]]</f>
        <v>68</v>
      </c>
      <c r="O194" s="8" t="n">
        <v>68</v>
      </c>
      <c r="P194" s="33"/>
      <c r="Q194" s="8"/>
      <c r="R194" s="8"/>
      <c r="S194" s="12" t="s">
        <v>73</v>
      </c>
      <c r="AMH194" s="0"/>
      <c r="AMI194" s="0"/>
      <c r="AMJ194" s="0"/>
    </row>
    <row r="195" s="13" customFormat="true" ht="14.9" hidden="false" customHeight="false" outlineLevel="0" collapsed="false">
      <c r="A195" s="41"/>
      <c r="B195" s="8" t="s">
        <v>72</v>
      </c>
      <c r="C195" s="8" t="n">
        <v>0</v>
      </c>
      <c r="D195" s="42" t="n">
        <v>27</v>
      </c>
      <c r="E195" s="42" t="n">
        <v>5</v>
      </c>
      <c r="F195" s="42" t="n">
        <v>10</v>
      </c>
      <c r="G195" s="42" t="n">
        <f aca="false">Table1457[[#This Row],[Clay]]+Table1457[[#This Row],[Silt]]</f>
        <v>15</v>
      </c>
      <c r="H195" s="42" t="n">
        <f aca="false">100-Table1457[[#This Row],[Clay2]]-Table1457[[#This Row],[Sand]]</f>
        <v>58</v>
      </c>
      <c r="I195" s="42" t="n">
        <v>24.6</v>
      </c>
      <c r="J195" s="42" t="n">
        <v>17.2</v>
      </c>
      <c r="K195" s="42" t="n">
        <f aca="false">Table1457[[#This Row],[LL]]-Table1457[[#This Row],[PL]]</f>
        <v>7.4</v>
      </c>
      <c r="L195" s="8" t="n">
        <v>2</v>
      </c>
      <c r="M195" s="8"/>
      <c r="N195" s="43" t="n">
        <f aca="false">Table1457[[#This Row],[UCS_std_Soaked_7Days]]</f>
        <v>52</v>
      </c>
      <c r="O195" s="8" t="n">
        <v>52</v>
      </c>
      <c r="P195" s="33"/>
      <c r="Q195" s="8"/>
      <c r="R195" s="8"/>
      <c r="S195" s="12" t="s">
        <v>73</v>
      </c>
      <c r="AMH195" s="0"/>
      <c r="AMI195" s="0"/>
      <c r="AMJ195" s="0"/>
    </row>
    <row r="196" s="13" customFormat="true" ht="14.9" hidden="false" customHeight="false" outlineLevel="0" collapsed="false">
      <c r="A196" s="41"/>
      <c r="B196" s="8" t="s">
        <v>72</v>
      </c>
      <c r="C196" s="8" t="n">
        <v>0</v>
      </c>
      <c r="D196" s="42" t="n">
        <v>27</v>
      </c>
      <c r="E196" s="42" t="n">
        <v>5</v>
      </c>
      <c r="F196" s="42" t="n">
        <v>10</v>
      </c>
      <c r="G196" s="42" t="n">
        <f aca="false">Table1457[[#This Row],[Clay]]+Table1457[[#This Row],[Silt]]</f>
        <v>15</v>
      </c>
      <c r="H196" s="42" t="n">
        <f aca="false">100-Table1457[[#This Row],[Clay2]]-Table1457[[#This Row],[Sand]]</f>
        <v>58</v>
      </c>
      <c r="I196" s="42" t="n">
        <v>24.6</v>
      </c>
      <c r="J196" s="42" t="n">
        <v>17.2</v>
      </c>
      <c r="K196" s="42" t="n">
        <f aca="false">Table1457[[#This Row],[LL]]-Table1457[[#This Row],[PL]]</f>
        <v>7.4</v>
      </c>
      <c r="L196" s="8" t="n">
        <v>4</v>
      </c>
      <c r="M196" s="8"/>
      <c r="N196" s="43" t="n">
        <f aca="false">Table1457[[#This Row],[UCS_std_Soaked_7Days]]</f>
        <v>60</v>
      </c>
      <c r="O196" s="8" t="n">
        <v>60</v>
      </c>
      <c r="P196" s="8"/>
      <c r="Q196" s="8"/>
      <c r="R196" s="8"/>
      <c r="S196" s="12" t="s">
        <v>73</v>
      </c>
      <c r="AMH196" s="0"/>
      <c r="AMI196" s="0"/>
      <c r="AMJ196" s="0"/>
    </row>
    <row r="197" s="13" customFormat="true" ht="14.9" hidden="false" customHeight="false" outlineLevel="0" collapsed="false">
      <c r="A197" s="41"/>
      <c r="B197" s="8" t="s">
        <v>72</v>
      </c>
      <c r="C197" s="8" t="n">
        <v>0</v>
      </c>
      <c r="D197" s="42" t="n">
        <v>27</v>
      </c>
      <c r="E197" s="42" t="n">
        <v>5</v>
      </c>
      <c r="F197" s="42" t="n">
        <v>10</v>
      </c>
      <c r="G197" s="42" t="n">
        <f aca="false">Table1457[[#This Row],[Clay]]+Table1457[[#This Row],[Silt]]</f>
        <v>15</v>
      </c>
      <c r="H197" s="42" t="n">
        <f aca="false">100-Table1457[[#This Row],[Clay2]]-Table1457[[#This Row],[Sand]]</f>
        <v>58</v>
      </c>
      <c r="I197" s="42" t="n">
        <v>24.6</v>
      </c>
      <c r="J197" s="42" t="n">
        <v>17.2</v>
      </c>
      <c r="K197" s="42" t="n">
        <f aca="false">Table1457[[#This Row],[LL]]-Table1457[[#This Row],[PL]]</f>
        <v>7.4</v>
      </c>
      <c r="L197" s="8"/>
      <c r="M197" s="8" t="n">
        <v>1</v>
      </c>
      <c r="N197" s="43" t="n">
        <f aca="false">Table1457[[#This Row],[UCS_std_Soaked_7Days]]</f>
        <v>179</v>
      </c>
      <c r="O197" s="8" t="n">
        <v>179</v>
      </c>
      <c r="P197" s="8"/>
      <c r="Q197" s="8"/>
      <c r="R197" s="8"/>
      <c r="S197" s="12" t="s">
        <v>73</v>
      </c>
      <c r="AMH197" s="0"/>
      <c r="AMI197" s="0"/>
      <c r="AMJ197" s="0"/>
    </row>
    <row r="198" s="13" customFormat="true" ht="14.9" hidden="false" customHeight="false" outlineLevel="0" collapsed="false">
      <c r="A198" s="41"/>
      <c r="B198" s="8" t="s">
        <v>72</v>
      </c>
      <c r="C198" s="8" t="n">
        <v>0</v>
      </c>
      <c r="D198" s="42" t="n">
        <v>27</v>
      </c>
      <c r="E198" s="42" t="n">
        <v>5</v>
      </c>
      <c r="F198" s="42" t="n">
        <v>10</v>
      </c>
      <c r="G198" s="42" t="n">
        <f aca="false">Table1457[[#This Row],[Clay]]+Table1457[[#This Row],[Silt]]</f>
        <v>15</v>
      </c>
      <c r="H198" s="42" t="n">
        <f aca="false">100-Table1457[[#This Row],[Clay2]]-Table1457[[#This Row],[Sand]]</f>
        <v>58</v>
      </c>
      <c r="I198" s="42" t="n">
        <v>24.6</v>
      </c>
      <c r="J198" s="42" t="n">
        <v>17.2</v>
      </c>
      <c r="K198" s="42" t="n">
        <f aca="false">Table1457[[#This Row],[LL]]-Table1457[[#This Row],[PL]]</f>
        <v>7.4</v>
      </c>
      <c r="L198" s="8"/>
      <c r="M198" s="8" t="n">
        <v>2</v>
      </c>
      <c r="N198" s="43" t="n">
        <f aca="false">Table1457[[#This Row],[UCS_std_Soaked_7Days]]</f>
        <v>235</v>
      </c>
      <c r="O198" s="8" t="n">
        <v>235</v>
      </c>
      <c r="P198" s="8"/>
      <c r="Q198" s="8"/>
      <c r="R198" s="8"/>
      <c r="S198" s="12" t="s">
        <v>73</v>
      </c>
      <c r="AMH198" s="0"/>
      <c r="AMI198" s="0"/>
      <c r="AMJ198" s="0"/>
    </row>
    <row r="199" s="13" customFormat="true" ht="14.9" hidden="false" customHeight="false" outlineLevel="0" collapsed="false">
      <c r="A199" s="41"/>
      <c r="B199" s="8" t="s">
        <v>72</v>
      </c>
      <c r="C199" s="8" t="n">
        <v>0</v>
      </c>
      <c r="D199" s="42" t="n">
        <v>27</v>
      </c>
      <c r="E199" s="42" t="n">
        <v>5</v>
      </c>
      <c r="F199" s="42" t="n">
        <v>10</v>
      </c>
      <c r="G199" s="42" t="n">
        <f aca="false">Table1457[[#This Row],[Clay]]+Table1457[[#This Row],[Silt]]</f>
        <v>15</v>
      </c>
      <c r="H199" s="42" t="n">
        <f aca="false">100-Table1457[[#This Row],[Clay2]]-Table1457[[#This Row],[Sand]]</f>
        <v>58</v>
      </c>
      <c r="I199" s="42" t="n">
        <v>24.6</v>
      </c>
      <c r="J199" s="42" t="n">
        <v>17.2</v>
      </c>
      <c r="K199" s="42" t="n">
        <f aca="false">Table1457[[#This Row],[LL]]-Table1457[[#This Row],[PL]]</f>
        <v>7.4</v>
      </c>
      <c r="L199" s="8"/>
      <c r="M199" s="8" t="n">
        <v>4</v>
      </c>
      <c r="N199" s="43" t="n">
        <f aca="false">Table1457[[#This Row],[UCS_std_Soaked_7Days]]</f>
        <v>263</v>
      </c>
      <c r="O199" s="8" t="n">
        <v>263</v>
      </c>
      <c r="P199" s="8"/>
      <c r="Q199" s="8"/>
      <c r="R199" s="8"/>
      <c r="S199" s="12" t="s">
        <v>73</v>
      </c>
      <c r="AMH199" s="0"/>
      <c r="AMI199" s="0"/>
      <c r="AMJ199" s="0"/>
    </row>
    <row r="200" s="13" customFormat="true" ht="14.9" hidden="false" customHeight="false" outlineLevel="0" collapsed="false">
      <c r="A200" s="41"/>
      <c r="B200" s="8" t="s">
        <v>74</v>
      </c>
      <c r="C200" s="8" t="n">
        <v>0</v>
      </c>
      <c r="D200" s="42" t="n">
        <v>15</v>
      </c>
      <c r="E200" s="42" t="n">
        <v>15</v>
      </c>
      <c r="F200" s="42" t="n">
        <v>0</v>
      </c>
      <c r="G200" s="42" t="n">
        <f aca="false">Table1457[[#This Row],[Clay]]+Table1457[[#This Row],[Silt]]</f>
        <v>15</v>
      </c>
      <c r="H200" s="42" t="n">
        <f aca="false">100-Table1457[[#This Row],[Clay2]]-Table1457[[#This Row],[Sand]]</f>
        <v>70</v>
      </c>
      <c r="I200" s="42" t="n">
        <v>23.3</v>
      </c>
      <c r="J200" s="42" t="n">
        <v>0</v>
      </c>
      <c r="K200" s="42" t="n">
        <v>0</v>
      </c>
      <c r="L200" s="8" t="n">
        <v>1</v>
      </c>
      <c r="M200" s="8"/>
      <c r="N200" s="43" t="n">
        <f aca="false">Table1457[[#This Row],[UCS_std_Soaked_7Days]]</f>
        <v>37</v>
      </c>
      <c r="O200" s="8" t="n">
        <v>37</v>
      </c>
      <c r="P200" s="8"/>
      <c r="Q200" s="8"/>
      <c r="R200" s="8"/>
      <c r="S200" s="12" t="s">
        <v>73</v>
      </c>
      <c r="AMH200" s="0"/>
      <c r="AMI200" s="0"/>
      <c r="AMJ200" s="0"/>
    </row>
    <row r="201" s="13" customFormat="true" ht="14.9" hidden="false" customHeight="false" outlineLevel="0" collapsed="false">
      <c r="A201" s="41"/>
      <c r="B201" s="8" t="s">
        <v>74</v>
      </c>
      <c r="C201" s="8" t="n">
        <v>0</v>
      </c>
      <c r="D201" s="42" t="n">
        <v>15</v>
      </c>
      <c r="E201" s="42" t="n">
        <v>15</v>
      </c>
      <c r="F201" s="42" t="n">
        <v>0</v>
      </c>
      <c r="G201" s="42" t="n">
        <f aca="false">Table1457[[#This Row],[Clay]]+Table1457[[#This Row],[Silt]]</f>
        <v>15</v>
      </c>
      <c r="H201" s="42" t="n">
        <f aca="false">100-Table1457[[#This Row],[Clay2]]-Table1457[[#This Row],[Sand]]</f>
        <v>70</v>
      </c>
      <c r="I201" s="42" t="n">
        <v>23.3</v>
      </c>
      <c r="J201" s="42" t="n">
        <v>0</v>
      </c>
      <c r="K201" s="42" t="n">
        <v>0</v>
      </c>
      <c r="L201" s="8" t="n">
        <v>2</v>
      </c>
      <c r="M201" s="8"/>
      <c r="N201" s="43" t="n">
        <f aca="false">Table1457[[#This Row],[UCS_std_Soaked_7Days]]</f>
        <v>17</v>
      </c>
      <c r="O201" s="8" t="n">
        <v>17</v>
      </c>
      <c r="P201" s="8"/>
      <c r="Q201" s="8"/>
      <c r="R201" s="8"/>
      <c r="S201" s="12" t="s">
        <v>73</v>
      </c>
      <c r="AMH201" s="0"/>
      <c r="AMI201" s="0"/>
      <c r="AMJ201" s="0"/>
    </row>
    <row r="202" s="13" customFormat="true" ht="14.9" hidden="false" customHeight="false" outlineLevel="0" collapsed="false">
      <c r="A202" s="41"/>
      <c r="B202" s="8" t="s">
        <v>74</v>
      </c>
      <c r="C202" s="8" t="n">
        <v>0</v>
      </c>
      <c r="D202" s="42" t="n">
        <v>15</v>
      </c>
      <c r="E202" s="42" t="n">
        <v>15</v>
      </c>
      <c r="F202" s="42" t="n">
        <v>0</v>
      </c>
      <c r="G202" s="42" t="n">
        <f aca="false">Table1457[[#This Row],[Clay]]+Table1457[[#This Row],[Silt]]</f>
        <v>15</v>
      </c>
      <c r="H202" s="42" t="n">
        <f aca="false">100-Table1457[[#This Row],[Clay2]]-Table1457[[#This Row],[Sand]]</f>
        <v>70</v>
      </c>
      <c r="I202" s="42" t="n">
        <v>23.3</v>
      </c>
      <c r="J202" s="42" t="n">
        <v>0</v>
      </c>
      <c r="K202" s="42" t="n">
        <v>0</v>
      </c>
      <c r="L202" s="8" t="n">
        <v>4</v>
      </c>
      <c r="M202" s="8"/>
      <c r="N202" s="43" t="n">
        <f aca="false">Table1457[[#This Row],[UCS_std_Soaked_7Days]]</f>
        <v>27</v>
      </c>
      <c r="O202" s="8" t="n">
        <v>27</v>
      </c>
      <c r="P202" s="8"/>
      <c r="Q202" s="8"/>
      <c r="R202" s="8"/>
      <c r="S202" s="12" t="s">
        <v>73</v>
      </c>
      <c r="AMH202" s="0"/>
      <c r="AMI202" s="0"/>
      <c r="AMJ202" s="0"/>
    </row>
    <row r="203" s="13" customFormat="true" ht="14.9" hidden="false" customHeight="false" outlineLevel="0" collapsed="false">
      <c r="A203" s="41"/>
      <c r="B203" s="8" t="s">
        <v>74</v>
      </c>
      <c r="C203" s="8" t="n">
        <v>0</v>
      </c>
      <c r="D203" s="42" t="n">
        <v>15</v>
      </c>
      <c r="E203" s="42" t="n">
        <v>15</v>
      </c>
      <c r="F203" s="42" t="n">
        <v>0</v>
      </c>
      <c r="G203" s="42" t="n">
        <f aca="false">Table1457[[#This Row],[Clay]]+Table1457[[#This Row],[Silt]]</f>
        <v>15</v>
      </c>
      <c r="H203" s="42" t="n">
        <f aca="false">100-Table1457[[#This Row],[Clay2]]-Table1457[[#This Row],[Sand]]</f>
        <v>70</v>
      </c>
      <c r="I203" s="42" t="n">
        <v>23.3</v>
      </c>
      <c r="J203" s="42" t="n">
        <v>0</v>
      </c>
      <c r="K203" s="42" t="n">
        <v>0</v>
      </c>
      <c r="L203" s="8"/>
      <c r="M203" s="8" t="n">
        <v>1</v>
      </c>
      <c r="N203" s="43" t="n">
        <f aca="false">Table1457[[#This Row],[UCS_std_Soaked_7Days]]</f>
        <v>63</v>
      </c>
      <c r="O203" s="8" t="n">
        <v>63</v>
      </c>
      <c r="P203" s="8"/>
      <c r="Q203" s="8"/>
      <c r="R203" s="8"/>
      <c r="S203" s="12" t="s">
        <v>73</v>
      </c>
      <c r="AMH203" s="0"/>
      <c r="AMI203" s="0"/>
      <c r="AMJ203" s="0"/>
    </row>
    <row r="204" s="13" customFormat="true" ht="14.9" hidden="false" customHeight="false" outlineLevel="0" collapsed="false">
      <c r="A204" s="41"/>
      <c r="B204" s="8" t="s">
        <v>74</v>
      </c>
      <c r="C204" s="8" t="n">
        <v>0</v>
      </c>
      <c r="D204" s="42" t="n">
        <v>15</v>
      </c>
      <c r="E204" s="42" t="n">
        <v>15</v>
      </c>
      <c r="F204" s="42" t="n">
        <v>0</v>
      </c>
      <c r="G204" s="42" t="n">
        <f aca="false">Table1457[[#This Row],[Clay]]+Table1457[[#This Row],[Silt]]</f>
        <v>15</v>
      </c>
      <c r="H204" s="42" t="n">
        <f aca="false">100-Table1457[[#This Row],[Clay2]]-Table1457[[#This Row],[Sand]]</f>
        <v>70</v>
      </c>
      <c r="I204" s="42" t="n">
        <v>23.3</v>
      </c>
      <c r="J204" s="42" t="n">
        <v>0</v>
      </c>
      <c r="K204" s="42" t="n">
        <v>0</v>
      </c>
      <c r="L204" s="8"/>
      <c r="M204" s="8" t="n">
        <v>2</v>
      </c>
      <c r="N204" s="43" t="n">
        <f aca="false">Table1457[[#This Row],[UCS_std_Soaked_7Days]]</f>
        <v>140</v>
      </c>
      <c r="O204" s="8" t="n">
        <v>140</v>
      </c>
      <c r="P204" s="8"/>
      <c r="Q204" s="8"/>
      <c r="R204" s="8"/>
      <c r="S204" s="12" t="s">
        <v>73</v>
      </c>
      <c r="AMH204" s="0"/>
      <c r="AMI204" s="0"/>
      <c r="AMJ204" s="0"/>
    </row>
    <row r="205" s="13" customFormat="true" ht="14.9" hidden="false" customHeight="false" outlineLevel="0" collapsed="false">
      <c r="A205" s="41"/>
      <c r="B205" s="8" t="s">
        <v>74</v>
      </c>
      <c r="C205" s="8" t="n">
        <v>0</v>
      </c>
      <c r="D205" s="42" t="n">
        <v>15</v>
      </c>
      <c r="E205" s="42" t="n">
        <v>15</v>
      </c>
      <c r="F205" s="42" t="n">
        <v>0</v>
      </c>
      <c r="G205" s="42" t="n">
        <f aca="false">Table1457[[#This Row],[Clay]]+Table1457[[#This Row],[Silt]]</f>
        <v>15</v>
      </c>
      <c r="H205" s="42" t="n">
        <f aca="false">100-Table1457[[#This Row],[Clay2]]-Table1457[[#This Row],[Sand]]</f>
        <v>70</v>
      </c>
      <c r="I205" s="42" t="n">
        <v>23.3</v>
      </c>
      <c r="J205" s="42" t="n">
        <v>0</v>
      </c>
      <c r="K205" s="42" t="n">
        <v>0</v>
      </c>
      <c r="L205" s="8"/>
      <c r="M205" s="8" t="n">
        <v>4</v>
      </c>
      <c r="N205" s="43" t="n">
        <f aca="false">Table1457[[#This Row],[UCS_std_Soaked_7Days]]</f>
        <v>252</v>
      </c>
      <c r="O205" s="8" t="n">
        <v>252</v>
      </c>
      <c r="P205" s="8"/>
      <c r="Q205" s="8"/>
      <c r="R205" s="8"/>
      <c r="S205" s="12" t="s">
        <v>73</v>
      </c>
      <c r="AMH205" s="0"/>
      <c r="AMI205" s="0"/>
      <c r="AMJ205" s="0"/>
    </row>
    <row r="206" s="13" customFormat="true" ht="14.9" hidden="false" customHeight="false" outlineLevel="0" collapsed="false">
      <c r="A206" s="41"/>
      <c r="B206" s="8" t="s">
        <v>51</v>
      </c>
      <c r="C206" s="8" t="n">
        <v>0</v>
      </c>
      <c r="D206" s="42" t="n">
        <v>65</v>
      </c>
      <c r="E206" s="42" t="n">
        <v>5</v>
      </c>
      <c r="F206" s="42" t="n">
        <v>15</v>
      </c>
      <c r="G206" s="42" t="n">
        <f aca="false">Table1457[[#This Row],[Clay]]+Table1457[[#This Row],[Silt]]</f>
        <v>20</v>
      </c>
      <c r="H206" s="42" t="n">
        <f aca="false">100-Table1457[[#This Row],[Clay2]]-Table1457[[#This Row],[Sand]]</f>
        <v>15</v>
      </c>
      <c r="I206" s="42" t="n">
        <v>32</v>
      </c>
      <c r="J206" s="42" t="n">
        <v>19.5</v>
      </c>
      <c r="K206" s="42" t="n">
        <f aca="false">Table1457[[#This Row],[LL]]-Table1457[[#This Row],[PL]]</f>
        <v>12.5</v>
      </c>
      <c r="L206" s="8" t="n">
        <v>1</v>
      </c>
      <c r="M206" s="8"/>
      <c r="N206" s="43" t="n">
        <f aca="false">Table1457[[#This Row],[UCS_std_Soaked_7Days]]</f>
        <v>37</v>
      </c>
      <c r="O206" s="8" t="n">
        <v>37</v>
      </c>
      <c r="P206" s="8"/>
      <c r="Q206" s="8"/>
      <c r="R206" s="8"/>
      <c r="S206" s="12" t="s">
        <v>73</v>
      </c>
      <c r="AMH206" s="0"/>
      <c r="AMI206" s="0"/>
      <c r="AMJ206" s="0"/>
    </row>
    <row r="207" s="13" customFormat="true" ht="14.9" hidden="false" customHeight="false" outlineLevel="0" collapsed="false">
      <c r="A207" s="41"/>
      <c r="B207" s="8" t="s">
        <v>51</v>
      </c>
      <c r="C207" s="8" t="n">
        <v>0</v>
      </c>
      <c r="D207" s="42" t="n">
        <v>65</v>
      </c>
      <c r="E207" s="42" t="n">
        <v>5</v>
      </c>
      <c r="F207" s="42" t="n">
        <v>15</v>
      </c>
      <c r="G207" s="42" t="n">
        <f aca="false">Table1457[[#This Row],[Clay]]+Table1457[[#This Row],[Silt]]</f>
        <v>20</v>
      </c>
      <c r="H207" s="42" t="n">
        <f aca="false">100-Table1457[[#This Row],[Clay2]]-Table1457[[#This Row],[Sand]]</f>
        <v>15</v>
      </c>
      <c r="I207" s="42" t="n">
        <v>32</v>
      </c>
      <c r="J207" s="42" t="n">
        <v>19.5</v>
      </c>
      <c r="K207" s="42" t="n">
        <f aca="false">Table1457[[#This Row],[LL]]-Table1457[[#This Row],[PL]]</f>
        <v>12.5</v>
      </c>
      <c r="L207" s="8" t="n">
        <v>2</v>
      </c>
      <c r="M207" s="8"/>
      <c r="N207" s="43" t="n">
        <f aca="false">Table1457[[#This Row],[UCS_std_Soaked_7Days]]</f>
        <v>47</v>
      </c>
      <c r="O207" s="8" t="n">
        <v>47</v>
      </c>
      <c r="P207" s="8"/>
      <c r="Q207" s="8"/>
      <c r="R207" s="8"/>
      <c r="S207" s="12" t="s">
        <v>73</v>
      </c>
      <c r="AMH207" s="0"/>
      <c r="AMI207" s="0"/>
      <c r="AMJ207" s="0"/>
    </row>
    <row r="208" s="13" customFormat="true" ht="14.9" hidden="false" customHeight="false" outlineLevel="0" collapsed="false">
      <c r="A208" s="41"/>
      <c r="B208" s="8" t="s">
        <v>51</v>
      </c>
      <c r="C208" s="8" t="n">
        <v>0</v>
      </c>
      <c r="D208" s="42" t="n">
        <v>65</v>
      </c>
      <c r="E208" s="42" t="n">
        <v>5</v>
      </c>
      <c r="F208" s="42" t="n">
        <v>15</v>
      </c>
      <c r="G208" s="42" t="n">
        <f aca="false">Table1457[[#This Row],[Clay]]+Table1457[[#This Row],[Silt]]</f>
        <v>20</v>
      </c>
      <c r="H208" s="42" t="n">
        <f aca="false">100-Table1457[[#This Row],[Clay2]]-Table1457[[#This Row],[Sand]]</f>
        <v>15</v>
      </c>
      <c r="I208" s="42" t="n">
        <v>32</v>
      </c>
      <c r="J208" s="42" t="n">
        <v>19.5</v>
      </c>
      <c r="K208" s="42" t="n">
        <f aca="false">Table1457[[#This Row],[LL]]-Table1457[[#This Row],[PL]]</f>
        <v>12.5</v>
      </c>
      <c r="L208" s="8" t="n">
        <v>4</v>
      </c>
      <c r="M208" s="8"/>
      <c r="N208" s="43" t="n">
        <f aca="false">Table1457[[#This Row],[UCS_std_Soaked_7Days]]</f>
        <v>55</v>
      </c>
      <c r="O208" s="8" t="n">
        <v>55</v>
      </c>
      <c r="P208" s="8"/>
      <c r="Q208" s="8"/>
      <c r="R208" s="8"/>
      <c r="S208" s="12" t="s">
        <v>73</v>
      </c>
      <c r="AMH208" s="0"/>
      <c r="AMI208" s="0"/>
      <c r="AMJ208" s="0"/>
    </row>
    <row r="209" s="13" customFormat="true" ht="14.9" hidden="false" customHeight="false" outlineLevel="0" collapsed="false">
      <c r="A209" s="41"/>
      <c r="B209" s="8" t="s">
        <v>51</v>
      </c>
      <c r="C209" s="8" t="n">
        <v>0</v>
      </c>
      <c r="D209" s="42" t="n">
        <v>65</v>
      </c>
      <c r="E209" s="42" t="n">
        <v>5</v>
      </c>
      <c r="F209" s="42" t="n">
        <v>15</v>
      </c>
      <c r="G209" s="42" t="n">
        <f aca="false">Table1457[[#This Row],[Clay]]+Table1457[[#This Row],[Silt]]</f>
        <v>20</v>
      </c>
      <c r="H209" s="42" t="n">
        <f aca="false">100-Table1457[[#This Row],[Clay2]]-Table1457[[#This Row],[Sand]]</f>
        <v>15</v>
      </c>
      <c r="I209" s="42" t="n">
        <v>32</v>
      </c>
      <c r="J209" s="42" t="n">
        <v>19.5</v>
      </c>
      <c r="K209" s="42" t="n">
        <f aca="false">Table1457[[#This Row],[LL]]-Table1457[[#This Row],[PL]]</f>
        <v>12.5</v>
      </c>
      <c r="L209" s="8"/>
      <c r="M209" s="8" t="n">
        <v>1</v>
      </c>
      <c r="N209" s="43" t="n">
        <f aca="false">Table1457[[#This Row],[UCS_std_Soaked_7Days]]</f>
        <v>58</v>
      </c>
      <c r="O209" s="8" t="n">
        <v>58</v>
      </c>
      <c r="P209" s="8"/>
      <c r="Q209" s="8"/>
      <c r="R209" s="8"/>
      <c r="S209" s="12" t="s">
        <v>73</v>
      </c>
      <c r="AMH209" s="0"/>
      <c r="AMI209" s="0"/>
      <c r="AMJ209" s="0"/>
    </row>
    <row r="210" s="13" customFormat="true" ht="14.9" hidden="false" customHeight="false" outlineLevel="0" collapsed="false">
      <c r="A210" s="41"/>
      <c r="B210" s="8" t="s">
        <v>51</v>
      </c>
      <c r="C210" s="8" t="n">
        <v>0</v>
      </c>
      <c r="D210" s="42" t="n">
        <v>65</v>
      </c>
      <c r="E210" s="42" t="n">
        <v>5</v>
      </c>
      <c r="F210" s="42" t="n">
        <v>15</v>
      </c>
      <c r="G210" s="42" t="n">
        <f aca="false">Table1457[[#This Row],[Clay]]+Table1457[[#This Row],[Silt]]</f>
        <v>20</v>
      </c>
      <c r="H210" s="42" t="n">
        <f aca="false">100-Table1457[[#This Row],[Clay2]]-Table1457[[#This Row],[Sand]]</f>
        <v>15</v>
      </c>
      <c r="I210" s="42" t="n">
        <v>32</v>
      </c>
      <c r="J210" s="42" t="n">
        <v>19.5</v>
      </c>
      <c r="K210" s="42" t="n">
        <f aca="false">Table1457[[#This Row],[LL]]-Table1457[[#This Row],[PL]]</f>
        <v>12.5</v>
      </c>
      <c r="L210" s="8"/>
      <c r="M210" s="8" t="n">
        <v>2</v>
      </c>
      <c r="N210" s="43" t="n">
        <f aca="false">Table1457[[#This Row],[UCS_std_Soaked_7Days]]</f>
        <v>125</v>
      </c>
      <c r="O210" s="8" t="n">
        <v>125</v>
      </c>
      <c r="P210" s="8"/>
      <c r="Q210" s="8"/>
      <c r="R210" s="8"/>
      <c r="S210" s="12" t="s">
        <v>73</v>
      </c>
      <c r="AMH210" s="0"/>
      <c r="AMI210" s="0"/>
      <c r="AMJ210" s="0"/>
    </row>
    <row r="211" s="13" customFormat="true" ht="14.9" hidden="false" customHeight="false" outlineLevel="0" collapsed="false">
      <c r="A211" s="41"/>
      <c r="B211" s="8" t="s">
        <v>51</v>
      </c>
      <c r="C211" s="8" t="n">
        <v>0</v>
      </c>
      <c r="D211" s="42" t="n">
        <v>65</v>
      </c>
      <c r="E211" s="42" t="n">
        <v>5</v>
      </c>
      <c r="F211" s="42" t="n">
        <v>15</v>
      </c>
      <c r="G211" s="42" t="n">
        <f aca="false">Table1457[[#This Row],[Clay]]+Table1457[[#This Row],[Silt]]</f>
        <v>20</v>
      </c>
      <c r="H211" s="42" t="n">
        <f aca="false">100-Table1457[[#This Row],[Clay2]]-Table1457[[#This Row],[Sand]]</f>
        <v>15</v>
      </c>
      <c r="I211" s="42" t="n">
        <v>32</v>
      </c>
      <c r="J211" s="42" t="n">
        <v>19.5</v>
      </c>
      <c r="K211" s="42" t="n">
        <f aca="false">Table1457[[#This Row],[LL]]-Table1457[[#This Row],[PL]]</f>
        <v>12.5</v>
      </c>
      <c r="L211" s="8"/>
      <c r="M211" s="8" t="n">
        <v>4</v>
      </c>
      <c r="N211" s="43" t="n">
        <f aca="false">Table1457[[#This Row],[UCS_std_Soaked_7Days]]</f>
        <v>216</v>
      </c>
      <c r="O211" s="8" t="n">
        <v>216</v>
      </c>
      <c r="P211" s="8"/>
      <c r="Q211" s="8"/>
      <c r="R211" s="8"/>
      <c r="S211" s="12" t="s">
        <v>73</v>
      </c>
      <c r="AMH211" s="0"/>
      <c r="AMI211" s="0"/>
      <c r="AMJ211" s="0"/>
    </row>
    <row r="212" s="13" customFormat="true" ht="14.9" hidden="false" customHeight="false" outlineLevel="0" collapsed="false">
      <c r="A212" s="41"/>
      <c r="B212" s="8" t="s">
        <v>53</v>
      </c>
      <c r="C212" s="8" t="n">
        <v>0</v>
      </c>
      <c r="D212" s="42" t="n">
        <v>25</v>
      </c>
      <c r="E212" s="42" t="n">
        <v>10</v>
      </c>
      <c r="F212" s="42" t="n">
        <v>15</v>
      </c>
      <c r="G212" s="42" t="n">
        <f aca="false">Table1457[[#This Row],[Clay]]+Table1457[[#This Row],[Silt]]</f>
        <v>25</v>
      </c>
      <c r="H212" s="42" t="n">
        <f aca="false">100-Table1457[[#This Row],[Clay2]]-Table1457[[#This Row],[Sand]]</f>
        <v>50</v>
      </c>
      <c r="I212" s="42" t="n">
        <v>19.8</v>
      </c>
      <c r="J212" s="42" t="n">
        <v>0</v>
      </c>
      <c r="K212" s="42" t="n">
        <v>0</v>
      </c>
      <c r="L212" s="8" t="n">
        <v>1</v>
      </c>
      <c r="M212" s="8"/>
      <c r="N212" s="43" t="n">
        <f aca="false">Table1457[[#This Row],[UCS_std_Soaked_7Days]]</f>
        <v>12</v>
      </c>
      <c r="O212" s="8" t="n">
        <v>12</v>
      </c>
      <c r="P212" s="8"/>
      <c r="Q212" s="8"/>
      <c r="R212" s="8"/>
      <c r="S212" s="12" t="s">
        <v>73</v>
      </c>
      <c r="AMH212" s="0"/>
      <c r="AMI212" s="0"/>
      <c r="AMJ212" s="0"/>
    </row>
    <row r="213" s="13" customFormat="true" ht="14.9" hidden="false" customHeight="false" outlineLevel="0" collapsed="false">
      <c r="A213" s="41"/>
      <c r="B213" s="8" t="s">
        <v>53</v>
      </c>
      <c r="C213" s="8" t="n">
        <v>0</v>
      </c>
      <c r="D213" s="42" t="n">
        <v>25</v>
      </c>
      <c r="E213" s="42" t="n">
        <v>10</v>
      </c>
      <c r="F213" s="42" t="n">
        <v>15</v>
      </c>
      <c r="G213" s="42" t="n">
        <f aca="false">Table1457[[#This Row],[Clay]]+Table1457[[#This Row],[Silt]]</f>
        <v>25</v>
      </c>
      <c r="H213" s="42" t="n">
        <f aca="false">100-Table1457[[#This Row],[Clay2]]-Table1457[[#This Row],[Sand]]</f>
        <v>50</v>
      </c>
      <c r="I213" s="42" t="n">
        <v>19.8</v>
      </c>
      <c r="J213" s="42" t="n">
        <v>0</v>
      </c>
      <c r="K213" s="42" t="n">
        <v>0</v>
      </c>
      <c r="L213" s="8" t="n">
        <v>2</v>
      </c>
      <c r="M213" s="8"/>
      <c r="N213" s="43" t="n">
        <f aca="false">Table1457[[#This Row],[UCS_std_Soaked_7Days]]</f>
        <v>17</v>
      </c>
      <c r="O213" s="8" t="n">
        <v>17</v>
      </c>
      <c r="P213" s="8"/>
      <c r="Q213" s="8"/>
      <c r="R213" s="8"/>
      <c r="S213" s="12" t="s">
        <v>73</v>
      </c>
      <c r="AMH213" s="0"/>
      <c r="AMI213" s="0"/>
      <c r="AMJ213" s="0"/>
    </row>
    <row r="214" s="13" customFormat="true" ht="14.9" hidden="false" customHeight="false" outlineLevel="0" collapsed="false">
      <c r="A214" s="41"/>
      <c r="B214" s="8" t="s">
        <v>53</v>
      </c>
      <c r="C214" s="8" t="n">
        <v>0</v>
      </c>
      <c r="D214" s="42" t="n">
        <v>25</v>
      </c>
      <c r="E214" s="42" t="n">
        <v>10</v>
      </c>
      <c r="F214" s="42" t="n">
        <v>15</v>
      </c>
      <c r="G214" s="42" t="n">
        <f aca="false">Table1457[[#This Row],[Clay]]+Table1457[[#This Row],[Silt]]</f>
        <v>25</v>
      </c>
      <c r="H214" s="42" t="n">
        <f aca="false">100-Table1457[[#This Row],[Clay2]]-Table1457[[#This Row],[Sand]]</f>
        <v>50</v>
      </c>
      <c r="I214" s="42" t="n">
        <v>19.8</v>
      </c>
      <c r="J214" s="42" t="n">
        <v>0</v>
      </c>
      <c r="K214" s="42" t="n">
        <v>0</v>
      </c>
      <c r="L214" s="8" t="n">
        <v>4</v>
      </c>
      <c r="M214" s="8"/>
      <c r="N214" s="43" t="n">
        <f aca="false">Table1457[[#This Row],[UCS_std_Soaked_7Days]]</f>
        <v>23</v>
      </c>
      <c r="O214" s="8" t="n">
        <v>23</v>
      </c>
      <c r="P214" s="8"/>
      <c r="Q214" s="8"/>
      <c r="R214" s="8"/>
      <c r="S214" s="12" t="s">
        <v>73</v>
      </c>
      <c r="AMH214" s="0"/>
      <c r="AMI214" s="0"/>
      <c r="AMJ214" s="0"/>
    </row>
    <row r="215" s="13" customFormat="true" ht="14.9" hidden="false" customHeight="false" outlineLevel="0" collapsed="false">
      <c r="A215" s="41"/>
      <c r="B215" s="8" t="s">
        <v>53</v>
      </c>
      <c r="C215" s="8" t="n">
        <v>0</v>
      </c>
      <c r="D215" s="42" t="n">
        <v>25</v>
      </c>
      <c r="E215" s="42" t="n">
        <v>10</v>
      </c>
      <c r="F215" s="42" t="n">
        <v>15</v>
      </c>
      <c r="G215" s="42" t="n">
        <f aca="false">Table1457[[#This Row],[Clay]]+Table1457[[#This Row],[Silt]]</f>
        <v>25</v>
      </c>
      <c r="H215" s="42" t="n">
        <f aca="false">100-Table1457[[#This Row],[Clay2]]-Table1457[[#This Row],[Sand]]</f>
        <v>50</v>
      </c>
      <c r="I215" s="42" t="n">
        <v>19.8</v>
      </c>
      <c r="J215" s="42" t="n">
        <v>0</v>
      </c>
      <c r="K215" s="42" t="n">
        <v>0</v>
      </c>
      <c r="L215" s="8"/>
      <c r="M215" s="8" t="n">
        <v>1</v>
      </c>
      <c r="N215" s="43" t="n">
        <f aca="false">Table1457[[#This Row],[UCS_std_Soaked_7Days]]</f>
        <v>75</v>
      </c>
      <c r="O215" s="8" t="n">
        <v>75</v>
      </c>
      <c r="P215" s="8"/>
      <c r="Q215" s="8"/>
      <c r="R215" s="8"/>
      <c r="S215" s="12" t="s">
        <v>73</v>
      </c>
      <c r="AMH215" s="0"/>
      <c r="AMI215" s="0"/>
      <c r="AMJ215" s="0"/>
    </row>
    <row r="216" s="13" customFormat="true" ht="14.9" hidden="false" customHeight="false" outlineLevel="0" collapsed="false">
      <c r="A216" s="41"/>
      <c r="B216" s="8" t="s">
        <v>53</v>
      </c>
      <c r="C216" s="8" t="n">
        <v>0</v>
      </c>
      <c r="D216" s="42" t="n">
        <v>25</v>
      </c>
      <c r="E216" s="42" t="n">
        <v>10</v>
      </c>
      <c r="F216" s="42" t="n">
        <v>15</v>
      </c>
      <c r="G216" s="42" t="n">
        <f aca="false">Table1457[[#This Row],[Clay]]+Table1457[[#This Row],[Silt]]</f>
        <v>25</v>
      </c>
      <c r="H216" s="42" t="n">
        <f aca="false">100-Table1457[[#This Row],[Clay2]]-Table1457[[#This Row],[Sand]]</f>
        <v>50</v>
      </c>
      <c r="I216" s="42" t="n">
        <v>19.8</v>
      </c>
      <c r="J216" s="42" t="n">
        <v>0</v>
      </c>
      <c r="K216" s="42" t="n">
        <v>0</v>
      </c>
      <c r="L216" s="8"/>
      <c r="M216" s="8" t="n">
        <v>2</v>
      </c>
      <c r="N216" s="43" t="n">
        <f aca="false">Table1457[[#This Row],[UCS_std_Soaked_7Days]]</f>
        <v>167</v>
      </c>
      <c r="O216" s="8" t="n">
        <v>167</v>
      </c>
      <c r="P216" s="8"/>
      <c r="Q216" s="8"/>
      <c r="R216" s="8"/>
      <c r="S216" s="12" t="s">
        <v>73</v>
      </c>
      <c r="AMH216" s="0"/>
      <c r="AMI216" s="0"/>
      <c r="AMJ216" s="0"/>
    </row>
    <row r="217" s="13" customFormat="true" ht="14.9" hidden="false" customHeight="false" outlineLevel="0" collapsed="false">
      <c r="A217" s="41"/>
      <c r="B217" s="8" t="s">
        <v>53</v>
      </c>
      <c r="C217" s="8" t="n">
        <v>0</v>
      </c>
      <c r="D217" s="42" t="n">
        <v>25</v>
      </c>
      <c r="E217" s="42" t="n">
        <v>10</v>
      </c>
      <c r="F217" s="42" t="n">
        <v>15</v>
      </c>
      <c r="G217" s="42" t="n">
        <f aca="false">Table1457[[#This Row],[Clay]]+Table1457[[#This Row],[Silt]]</f>
        <v>25</v>
      </c>
      <c r="H217" s="42" t="n">
        <f aca="false">100-Table1457[[#This Row],[Clay2]]-Table1457[[#This Row],[Sand]]</f>
        <v>50</v>
      </c>
      <c r="I217" s="42" t="n">
        <v>19.8</v>
      </c>
      <c r="J217" s="42" t="n">
        <v>0</v>
      </c>
      <c r="K217" s="42" t="n">
        <v>0</v>
      </c>
      <c r="L217" s="8"/>
      <c r="M217" s="8" t="n">
        <v>4</v>
      </c>
      <c r="N217" s="43" t="n">
        <f aca="false">Table1457[[#This Row],[UCS_std_Soaked_7Days]]</f>
        <v>335</v>
      </c>
      <c r="O217" s="8" t="n">
        <v>335</v>
      </c>
      <c r="P217" s="8"/>
      <c r="Q217" s="8"/>
      <c r="R217" s="8"/>
      <c r="S217" s="12" t="s">
        <v>73</v>
      </c>
      <c r="AMH217" s="0"/>
      <c r="AMI217" s="0"/>
      <c r="AMJ217" s="0"/>
    </row>
    <row r="218" s="47" customFormat="true" ht="15" hidden="false" customHeight="true" outlineLevel="0" collapsed="false">
      <c r="A218" s="29" t="s">
        <v>56</v>
      </c>
      <c r="B218" s="21" t="s">
        <v>32</v>
      </c>
      <c r="C218" s="21" t="n">
        <v>0.17</v>
      </c>
      <c r="D218" s="22" t="n">
        <v>31.5</v>
      </c>
      <c r="E218" s="22" t="n">
        <v>30</v>
      </c>
      <c r="F218" s="22" t="n">
        <v>38.5</v>
      </c>
      <c r="G218" s="22" t="n">
        <f aca="false">Table1457[[#This Row],[Clay]]+Table1457[[#This Row],[Silt]]</f>
        <v>68.5</v>
      </c>
      <c r="H218" s="23" t="n">
        <f aca="false">100-Table1457[[#This Row],[Clay2]]-Table1457[[#This Row],[Sand]]</f>
        <v>0</v>
      </c>
      <c r="I218" s="23" t="n">
        <v>42.4</v>
      </c>
      <c r="J218" s="23" t="n">
        <v>20.5</v>
      </c>
      <c r="K218" s="23" t="n">
        <f aca="false">Table1457[[#This Row],[LL]]-Table1457[[#This Row],[PL]]</f>
        <v>21.9</v>
      </c>
      <c r="L218" s="44" t="n">
        <v>0</v>
      </c>
      <c r="M218" s="44" t="n">
        <v>0</v>
      </c>
      <c r="N218" s="45" t="n">
        <f aca="false">Table1457[[#This Row],[UCS_std_Soaked_7Days]]</f>
        <v>0</v>
      </c>
      <c r="O218" s="44" t="n">
        <v>0</v>
      </c>
      <c r="P218" s="45"/>
      <c r="Q218" s="44" t="n">
        <v>0</v>
      </c>
      <c r="R218" s="44"/>
      <c r="S218" s="46" t="s">
        <v>63</v>
      </c>
      <c r="AMH218" s="0"/>
      <c r="AMI218" s="0"/>
      <c r="AMJ218" s="0"/>
    </row>
    <row r="219" s="47" customFormat="true" ht="14.9" hidden="false" customHeight="false" outlineLevel="0" collapsed="false">
      <c r="A219" s="29"/>
      <c r="B219" s="21" t="s">
        <v>32</v>
      </c>
      <c r="C219" s="21" t="n">
        <v>0.17</v>
      </c>
      <c r="D219" s="22" t="n">
        <v>31.5</v>
      </c>
      <c r="E219" s="22" t="n">
        <v>30</v>
      </c>
      <c r="F219" s="22" t="n">
        <v>38.5</v>
      </c>
      <c r="G219" s="22" t="n">
        <f aca="false">Table1457[[#This Row],[Clay]]+Table1457[[#This Row],[Silt]]</f>
        <v>68.5</v>
      </c>
      <c r="H219" s="23" t="n">
        <f aca="false">100-Table1457[[#This Row],[Clay2]]-Table1457[[#This Row],[Sand]]</f>
        <v>0</v>
      </c>
      <c r="I219" s="23" t="n">
        <v>42.4</v>
      </c>
      <c r="J219" s="23" t="n">
        <v>20.5</v>
      </c>
      <c r="K219" s="23" t="n">
        <f aca="false">Table1457[[#This Row],[LL]]-Table1457[[#This Row],[PL]]</f>
        <v>21.9</v>
      </c>
      <c r="L219" s="44" t="n">
        <v>2</v>
      </c>
      <c r="M219" s="44"/>
      <c r="N219" s="45" t="n">
        <f aca="false">Table1457[[#This Row],[UCS_std_Soaked_7Days]]</f>
        <v>57.57</v>
      </c>
      <c r="O219" s="44" t="n">
        <v>57.57</v>
      </c>
      <c r="P219" s="33"/>
      <c r="Q219" s="44" t="n">
        <v>33.43</v>
      </c>
      <c r="R219" s="44"/>
      <c r="S219" s="46" t="s">
        <v>63</v>
      </c>
      <c r="AMH219" s="0"/>
      <c r="AMI219" s="0"/>
      <c r="AMJ219" s="0"/>
    </row>
    <row r="220" s="47" customFormat="true" ht="14.9" hidden="false" customHeight="false" outlineLevel="0" collapsed="false">
      <c r="A220" s="29"/>
      <c r="B220" s="21" t="s">
        <v>32</v>
      </c>
      <c r="C220" s="21" t="n">
        <v>0.17</v>
      </c>
      <c r="D220" s="22" t="n">
        <v>31.5</v>
      </c>
      <c r="E220" s="22" t="n">
        <v>30</v>
      </c>
      <c r="F220" s="22" t="n">
        <v>38.5</v>
      </c>
      <c r="G220" s="22" t="n">
        <f aca="false">Table1457[[#This Row],[Clay]]+Table1457[[#This Row],[Silt]]</f>
        <v>68.5</v>
      </c>
      <c r="H220" s="23" t="n">
        <f aca="false">100-Table1457[[#This Row],[Clay2]]-Table1457[[#This Row],[Sand]]</f>
        <v>0</v>
      </c>
      <c r="I220" s="23" t="n">
        <v>42.4</v>
      </c>
      <c r="J220" s="23" t="n">
        <v>20.5</v>
      </c>
      <c r="K220" s="23" t="n">
        <f aca="false">Table1457[[#This Row],[LL]]-Table1457[[#This Row],[PL]]</f>
        <v>21.9</v>
      </c>
      <c r="L220" s="44" t="n">
        <v>4</v>
      </c>
      <c r="M220" s="44"/>
      <c r="N220" s="45" t="n">
        <f aca="false">Table1457[[#This Row],[UCS_std_Soaked_7Days]]</f>
        <v>163.35</v>
      </c>
      <c r="O220" s="44" t="n">
        <v>163.35</v>
      </c>
      <c r="P220" s="33"/>
      <c r="Q220" s="44" t="n">
        <v>275.55</v>
      </c>
      <c r="R220" s="44"/>
      <c r="S220" s="46" t="s">
        <v>63</v>
      </c>
      <c r="AMH220" s="0"/>
      <c r="AMI220" s="0"/>
      <c r="AMJ220" s="0"/>
    </row>
    <row r="221" s="47" customFormat="true" ht="14.9" hidden="false" customHeight="false" outlineLevel="0" collapsed="false">
      <c r="A221" s="29"/>
      <c r="B221" s="21" t="s">
        <v>32</v>
      </c>
      <c r="C221" s="21" t="n">
        <v>0.17</v>
      </c>
      <c r="D221" s="22" t="n">
        <v>31.5</v>
      </c>
      <c r="E221" s="22" t="n">
        <v>30</v>
      </c>
      <c r="F221" s="22" t="n">
        <v>38.5</v>
      </c>
      <c r="G221" s="22" t="n">
        <f aca="false">Table1457[[#This Row],[Clay]]+Table1457[[#This Row],[Silt]]</f>
        <v>68.5</v>
      </c>
      <c r="H221" s="23" t="n">
        <f aca="false">100-Table1457[[#This Row],[Clay2]]-Table1457[[#This Row],[Sand]]</f>
        <v>0</v>
      </c>
      <c r="I221" s="23" t="n">
        <v>42.4</v>
      </c>
      <c r="J221" s="23" t="n">
        <v>20.5</v>
      </c>
      <c r="K221" s="23" t="n">
        <f aca="false">Table1457[[#This Row],[LL]]-Table1457[[#This Row],[PL]]</f>
        <v>21.9</v>
      </c>
      <c r="L221" s="44" t="n">
        <v>6</v>
      </c>
      <c r="M221" s="44"/>
      <c r="N221" s="45" t="n">
        <f aca="false">Table1457[[#This Row],[UCS_std_Soaked_7Days]]</f>
        <v>174.01</v>
      </c>
      <c r="O221" s="44" t="n">
        <v>174.01</v>
      </c>
      <c r="P221" s="44"/>
      <c r="Q221" s="44" t="n">
        <v>263.49</v>
      </c>
      <c r="R221" s="44"/>
      <c r="S221" s="46" t="s">
        <v>63</v>
      </c>
      <c r="AMH221" s="0"/>
      <c r="AMI221" s="0"/>
      <c r="AMJ221" s="0"/>
    </row>
    <row r="222" s="47" customFormat="true" ht="14.9" hidden="false" customHeight="false" outlineLevel="0" collapsed="false">
      <c r="A222" s="29"/>
      <c r="B222" s="21" t="s">
        <v>32</v>
      </c>
      <c r="C222" s="21" t="n">
        <v>0.17</v>
      </c>
      <c r="D222" s="22" t="n">
        <v>31.5</v>
      </c>
      <c r="E222" s="22" t="n">
        <v>30</v>
      </c>
      <c r="F222" s="22" t="n">
        <v>38.5</v>
      </c>
      <c r="G222" s="22" t="n">
        <f aca="false">Table1457[[#This Row],[Clay]]+Table1457[[#This Row],[Silt]]</f>
        <v>68.5</v>
      </c>
      <c r="H222" s="23" t="n">
        <f aca="false">100-Table1457[[#This Row],[Clay2]]-Table1457[[#This Row],[Sand]]</f>
        <v>0</v>
      </c>
      <c r="I222" s="23" t="n">
        <v>42.4</v>
      </c>
      <c r="J222" s="23" t="n">
        <v>20.5</v>
      </c>
      <c r="K222" s="23" t="n">
        <f aca="false">Table1457[[#This Row],[LL]]-Table1457[[#This Row],[PL]]</f>
        <v>21.9</v>
      </c>
      <c r="L222" s="44" t="n">
        <v>8</v>
      </c>
      <c r="M222" s="44"/>
      <c r="N222" s="45" t="n">
        <f aca="false">Table1457[[#This Row],[UCS_std_Soaked_7Days]]</f>
        <v>186.08</v>
      </c>
      <c r="O222" s="44" t="n">
        <v>186.08</v>
      </c>
      <c r="P222" s="44"/>
      <c r="Q222" s="44" t="n">
        <v>315.31</v>
      </c>
      <c r="R222" s="44"/>
      <c r="S222" s="46" t="s">
        <v>63</v>
      </c>
      <c r="AMH222" s="0"/>
      <c r="AMI222" s="0"/>
      <c r="AMJ222" s="0"/>
    </row>
    <row r="223" s="47" customFormat="true" ht="14.9" hidden="false" customHeight="false" outlineLevel="0" collapsed="false">
      <c r="A223" s="29"/>
      <c r="B223" s="21" t="s">
        <v>32</v>
      </c>
      <c r="C223" s="21" t="n">
        <v>0.17</v>
      </c>
      <c r="D223" s="22" t="n">
        <v>31.5</v>
      </c>
      <c r="E223" s="22" t="n">
        <v>30</v>
      </c>
      <c r="F223" s="22" t="n">
        <v>38.5</v>
      </c>
      <c r="G223" s="22" t="n">
        <f aca="false">Table1457[[#This Row],[Clay]]+Table1457[[#This Row],[Silt]]</f>
        <v>68.5</v>
      </c>
      <c r="H223" s="23" t="n">
        <f aca="false">100-Table1457[[#This Row],[Clay2]]-Table1457[[#This Row],[Sand]]</f>
        <v>0</v>
      </c>
      <c r="I223" s="23" t="n">
        <v>42.4</v>
      </c>
      <c r="J223" s="23" t="n">
        <v>20.5</v>
      </c>
      <c r="K223" s="23" t="n">
        <f aca="false">Table1457[[#This Row],[LL]]-Table1457[[#This Row],[PL]]</f>
        <v>21.9</v>
      </c>
      <c r="L223" s="44" t="n">
        <v>10</v>
      </c>
      <c r="M223" s="44"/>
      <c r="N223" s="45" t="n">
        <f aca="false">Table1457[[#This Row],[UCS_std_Soaked_7Days]]</f>
        <v>191.04</v>
      </c>
      <c r="O223" s="44" t="n">
        <v>191.04</v>
      </c>
      <c r="P223" s="44"/>
      <c r="Q223" s="44" t="n">
        <v>291.88</v>
      </c>
      <c r="R223" s="44"/>
      <c r="S223" s="46" t="s">
        <v>63</v>
      </c>
      <c r="AMH223" s="0"/>
      <c r="AMI223" s="0"/>
      <c r="AMJ223" s="0"/>
    </row>
    <row r="224" s="47" customFormat="true" ht="14.9" hidden="false" customHeight="false" outlineLevel="0" collapsed="false">
      <c r="A224" s="29"/>
      <c r="B224" s="21" t="s">
        <v>32</v>
      </c>
      <c r="C224" s="21" t="n">
        <v>0.17</v>
      </c>
      <c r="D224" s="22" t="n">
        <v>31.5</v>
      </c>
      <c r="E224" s="22" t="n">
        <v>30</v>
      </c>
      <c r="F224" s="22" t="n">
        <v>38.5</v>
      </c>
      <c r="G224" s="22" t="n">
        <f aca="false">Table1457[[#This Row],[Clay]]+Table1457[[#This Row],[Silt]]</f>
        <v>68.5</v>
      </c>
      <c r="H224" s="23" t="n">
        <f aca="false">100-Table1457[[#This Row],[Clay2]]-Table1457[[#This Row],[Sand]]</f>
        <v>0</v>
      </c>
      <c r="I224" s="23" t="n">
        <v>42.4</v>
      </c>
      <c r="J224" s="23" t="n">
        <v>20.5</v>
      </c>
      <c r="K224" s="23" t="n">
        <f aca="false">Table1457[[#This Row],[LL]]-Table1457[[#This Row],[PL]]</f>
        <v>21.9</v>
      </c>
      <c r="L224" s="44" t="n">
        <v>12</v>
      </c>
      <c r="M224" s="44"/>
      <c r="N224" s="45" t="n">
        <f aca="false">Table1457[[#This Row],[UCS_std_Soaked_7Days]]</f>
        <v>183.22</v>
      </c>
      <c r="O224" s="44" t="n">
        <v>183.22</v>
      </c>
      <c r="P224" s="44"/>
      <c r="Q224" s="44" t="n">
        <v>330.92</v>
      </c>
      <c r="R224" s="44"/>
      <c r="S224" s="46" t="s">
        <v>63</v>
      </c>
      <c r="AMH224" s="0"/>
      <c r="AMI224" s="0"/>
      <c r="AMJ224" s="0"/>
    </row>
    <row r="225" s="47" customFormat="true" ht="14.9" hidden="false" customHeight="false" outlineLevel="0" collapsed="false">
      <c r="A225" s="48" t="s">
        <v>59</v>
      </c>
      <c r="B225" s="44" t="s">
        <v>23</v>
      </c>
      <c r="C225" s="44" t="n">
        <v>0.2</v>
      </c>
      <c r="D225" s="49" t="n">
        <v>0.2</v>
      </c>
      <c r="E225" s="49" t="n">
        <v>60.8</v>
      </c>
      <c r="F225" s="49" t="n">
        <v>39</v>
      </c>
      <c r="G225" s="49" t="n">
        <f aca="false">Table1457[[#This Row],[Clay]]+Table1457[[#This Row],[Silt]]</f>
        <v>99.8</v>
      </c>
      <c r="H225" s="49" t="n">
        <f aca="false">100-Table1457[[#This Row],[Clay2]]-Table1457[[#This Row],[Sand]]</f>
        <v>2.83106871279415E-015</v>
      </c>
      <c r="I225" s="49" t="n">
        <v>52.1</v>
      </c>
      <c r="J225" s="49" t="n">
        <v>20</v>
      </c>
      <c r="K225" s="23" t="n">
        <f aca="false">Table1457[[#This Row],[LL]]-Table1457[[#This Row],[PL]]</f>
        <v>32.1</v>
      </c>
      <c r="L225" s="44" t="n">
        <v>0</v>
      </c>
      <c r="M225" s="44" t="n">
        <v>0</v>
      </c>
      <c r="N225" s="45" t="n">
        <f aca="false">Table1457[[#This Row],[UCS_std_Soaked_7Days]]</f>
        <v>0</v>
      </c>
      <c r="O225" s="44" t="n">
        <v>0</v>
      </c>
      <c r="P225" s="44"/>
      <c r="Q225" s="44" t="n">
        <v>0</v>
      </c>
      <c r="R225" s="44"/>
      <c r="S225" s="46" t="s">
        <v>63</v>
      </c>
      <c r="AMH225" s="0"/>
      <c r="AMI225" s="0"/>
      <c r="AMJ225" s="0"/>
    </row>
    <row r="226" s="47" customFormat="true" ht="14.9" hidden="false" customHeight="false" outlineLevel="0" collapsed="false">
      <c r="A226" s="48"/>
      <c r="B226" s="44" t="s">
        <v>23</v>
      </c>
      <c r="C226" s="44" t="n">
        <v>0.2</v>
      </c>
      <c r="D226" s="49" t="n">
        <v>0.2</v>
      </c>
      <c r="E226" s="49" t="n">
        <v>60.8</v>
      </c>
      <c r="F226" s="49" t="n">
        <v>39</v>
      </c>
      <c r="G226" s="49" t="n">
        <f aca="false">Table1457[[#This Row],[Clay]]+Table1457[[#This Row],[Silt]]</f>
        <v>99.8</v>
      </c>
      <c r="H226" s="49" t="n">
        <f aca="false">100-Table1457[[#This Row],[Clay2]]-Table1457[[#This Row],[Sand]]</f>
        <v>2.83106871279415E-015</v>
      </c>
      <c r="I226" s="49" t="n">
        <v>52.1</v>
      </c>
      <c r="J226" s="49" t="n">
        <v>20</v>
      </c>
      <c r="K226" s="23" t="n">
        <f aca="false">Table1457[[#This Row],[LL]]-Table1457[[#This Row],[PL]]</f>
        <v>32.1</v>
      </c>
      <c r="L226" s="44" t="n">
        <v>2</v>
      </c>
      <c r="M226" s="44"/>
      <c r="N226" s="45" t="n">
        <f aca="false">Table1457[[#This Row],[UCS_std_Soaked_7Days]]</f>
        <v>20.31</v>
      </c>
      <c r="O226" s="44" t="n">
        <v>20.31</v>
      </c>
      <c r="P226" s="44"/>
      <c r="Q226" s="44" t="n">
        <v>13.27</v>
      </c>
      <c r="R226" s="44"/>
      <c r="S226" s="46" t="s">
        <v>63</v>
      </c>
      <c r="AMH226" s="0"/>
      <c r="AMI226" s="0"/>
      <c r="AMJ226" s="0"/>
    </row>
    <row r="227" s="47" customFormat="true" ht="14.9" hidden="false" customHeight="false" outlineLevel="0" collapsed="false">
      <c r="A227" s="48"/>
      <c r="B227" s="44" t="s">
        <v>23</v>
      </c>
      <c r="C227" s="44" t="n">
        <v>0.2</v>
      </c>
      <c r="D227" s="49" t="n">
        <v>0.2</v>
      </c>
      <c r="E227" s="49" t="n">
        <v>60.8</v>
      </c>
      <c r="F227" s="49" t="n">
        <v>39</v>
      </c>
      <c r="G227" s="49" t="n">
        <f aca="false">Table1457[[#This Row],[Clay]]+Table1457[[#This Row],[Silt]]</f>
        <v>99.8</v>
      </c>
      <c r="H227" s="49" t="n">
        <f aca="false">100-Table1457[[#This Row],[Clay2]]-Table1457[[#This Row],[Sand]]</f>
        <v>2.83106871279415E-015</v>
      </c>
      <c r="I227" s="49" t="n">
        <v>52.1</v>
      </c>
      <c r="J227" s="49" t="n">
        <v>20</v>
      </c>
      <c r="K227" s="23" t="n">
        <f aca="false">Table1457[[#This Row],[LL]]-Table1457[[#This Row],[PL]]</f>
        <v>32.1</v>
      </c>
      <c r="L227" s="44" t="n">
        <v>4</v>
      </c>
      <c r="M227" s="44"/>
      <c r="N227" s="45" t="n">
        <f aca="false">Table1457[[#This Row],[UCS_std_Soaked_7Days]]</f>
        <v>44.86</v>
      </c>
      <c r="O227" s="44" t="n">
        <v>44.86</v>
      </c>
      <c r="P227" s="44"/>
      <c r="Q227" s="44" t="n">
        <v>126.56</v>
      </c>
      <c r="R227" s="44"/>
      <c r="S227" s="46" t="s">
        <v>63</v>
      </c>
      <c r="AMH227" s="0"/>
      <c r="AMI227" s="0"/>
      <c r="AMJ227" s="0"/>
    </row>
    <row r="228" s="47" customFormat="true" ht="14.9" hidden="false" customHeight="false" outlineLevel="0" collapsed="false">
      <c r="A228" s="48"/>
      <c r="B228" s="44" t="s">
        <v>23</v>
      </c>
      <c r="C228" s="44" t="n">
        <v>0.2</v>
      </c>
      <c r="D228" s="49" t="n">
        <v>0.2</v>
      </c>
      <c r="E228" s="49" t="n">
        <v>60.8</v>
      </c>
      <c r="F228" s="49" t="n">
        <v>39</v>
      </c>
      <c r="G228" s="49" t="n">
        <f aca="false">Table1457[[#This Row],[Clay]]+Table1457[[#This Row],[Silt]]</f>
        <v>99.8</v>
      </c>
      <c r="H228" s="49" t="n">
        <f aca="false">100-Table1457[[#This Row],[Clay2]]-Table1457[[#This Row],[Sand]]</f>
        <v>2.83106871279415E-015</v>
      </c>
      <c r="I228" s="49" t="n">
        <v>52.1</v>
      </c>
      <c r="J228" s="49" t="n">
        <v>20</v>
      </c>
      <c r="K228" s="23" t="n">
        <f aca="false">Table1457[[#This Row],[LL]]-Table1457[[#This Row],[PL]]</f>
        <v>32.1</v>
      </c>
      <c r="L228" s="44" t="n">
        <v>6</v>
      </c>
      <c r="M228" s="44"/>
      <c r="N228" s="45" t="n">
        <f aca="false">Table1457[[#This Row],[UCS_std_Soaked_7Days]]</f>
        <v>76.44</v>
      </c>
      <c r="O228" s="44" t="n">
        <v>76.44</v>
      </c>
      <c r="P228" s="44"/>
      <c r="Q228" s="44" t="n">
        <v>222.94</v>
      </c>
      <c r="R228" s="44"/>
      <c r="S228" s="46" t="s">
        <v>63</v>
      </c>
      <c r="AMH228" s="0"/>
      <c r="AMI228" s="0"/>
      <c r="AMJ228" s="0"/>
    </row>
    <row r="229" s="47" customFormat="true" ht="14.9" hidden="false" customHeight="false" outlineLevel="0" collapsed="false">
      <c r="A229" s="48"/>
      <c r="B229" s="44" t="s">
        <v>23</v>
      </c>
      <c r="C229" s="44" t="n">
        <v>0.2</v>
      </c>
      <c r="D229" s="49" t="n">
        <v>0.2</v>
      </c>
      <c r="E229" s="49" t="n">
        <v>60.8</v>
      </c>
      <c r="F229" s="49" t="n">
        <v>39</v>
      </c>
      <c r="G229" s="49" t="n">
        <f aca="false">Table1457[[#This Row],[Clay]]+Table1457[[#This Row],[Silt]]</f>
        <v>99.8</v>
      </c>
      <c r="H229" s="49" t="n">
        <f aca="false">100-Table1457[[#This Row],[Clay2]]-Table1457[[#This Row],[Sand]]</f>
        <v>2.83106871279415E-015</v>
      </c>
      <c r="I229" s="49" t="n">
        <v>52.1</v>
      </c>
      <c r="J229" s="49" t="n">
        <v>20</v>
      </c>
      <c r="K229" s="23" t="n">
        <f aca="false">Table1457[[#This Row],[LL]]-Table1457[[#This Row],[PL]]</f>
        <v>32.1</v>
      </c>
      <c r="L229" s="44" t="n">
        <v>8</v>
      </c>
      <c r="M229" s="44"/>
      <c r="N229" s="45" t="n">
        <f aca="false">Table1457[[#This Row],[UCS_std_Soaked_7Days]]</f>
        <v>109.46</v>
      </c>
      <c r="O229" s="44" t="n">
        <v>109.46</v>
      </c>
      <c r="P229" s="44"/>
      <c r="Q229" s="44" t="n">
        <v>209.46</v>
      </c>
      <c r="R229" s="44"/>
      <c r="S229" s="46" t="s">
        <v>63</v>
      </c>
      <c r="AMH229" s="0"/>
      <c r="AMI229" s="0"/>
      <c r="AMJ229" s="0"/>
    </row>
    <row r="230" s="47" customFormat="true" ht="14.9" hidden="false" customHeight="false" outlineLevel="0" collapsed="false">
      <c r="A230" s="48"/>
      <c r="B230" s="44" t="s">
        <v>23</v>
      </c>
      <c r="C230" s="44" t="n">
        <v>0.2</v>
      </c>
      <c r="D230" s="49" t="n">
        <v>0.2</v>
      </c>
      <c r="E230" s="49" t="n">
        <v>60.8</v>
      </c>
      <c r="F230" s="49" t="n">
        <v>39</v>
      </c>
      <c r="G230" s="49" t="n">
        <f aca="false">Table1457[[#This Row],[Clay]]+Table1457[[#This Row],[Silt]]</f>
        <v>99.8</v>
      </c>
      <c r="H230" s="49" t="n">
        <f aca="false">100-Table1457[[#This Row],[Clay2]]-Table1457[[#This Row],[Sand]]</f>
        <v>2.83106871279415E-015</v>
      </c>
      <c r="I230" s="49" t="n">
        <v>52.1</v>
      </c>
      <c r="J230" s="49" t="n">
        <v>20</v>
      </c>
      <c r="K230" s="23" t="n">
        <f aca="false">Table1457[[#This Row],[LL]]-Table1457[[#This Row],[PL]]</f>
        <v>32.1</v>
      </c>
      <c r="L230" s="44" t="n">
        <v>10</v>
      </c>
      <c r="M230" s="44"/>
      <c r="N230" s="45" t="n">
        <f aca="false">Table1457[[#This Row],[UCS_std_Soaked_7Days]]</f>
        <v>125.56</v>
      </c>
      <c r="O230" s="44" t="n">
        <v>125.56</v>
      </c>
      <c r="P230" s="44"/>
      <c r="Q230" s="44" t="n">
        <v>226.96</v>
      </c>
      <c r="R230" s="44"/>
      <c r="S230" s="46" t="s">
        <v>63</v>
      </c>
      <c r="AMH230" s="0"/>
      <c r="AMI230" s="0"/>
      <c r="AMJ230" s="0"/>
    </row>
    <row r="231" s="47" customFormat="true" ht="14.9" hidden="false" customHeight="false" outlineLevel="0" collapsed="false">
      <c r="A231" s="48"/>
      <c r="B231" s="44" t="s">
        <v>23</v>
      </c>
      <c r="C231" s="44" t="n">
        <v>0.2</v>
      </c>
      <c r="D231" s="49" t="n">
        <v>0.2</v>
      </c>
      <c r="E231" s="49" t="n">
        <v>60.8</v>
      </c>
      <c r="F231" s="49" t="n">
        <v>39</v>
      </c>
      <c r="G231" s="49" t="n">
        <f aca="false">Table1457[[#This Row],[Clay]]+Table1457[[#This Row],[Silt]]</f>
        <v>99.8</v>
      </c>
      <c r="H231" s="49" t="n">
        <f aca="false">100-Table1457[[#This Row],[Clay2]]-Table1457[[#This Row],[Sand]]</f>
        <v>2.83106871279415E-015</v>
      </c>
      <c r="I231" s="49" t="n">
        <v>52.1</v>
      </c>
      <c r="J231" s="49" t="n">
        <v>20</v>
      </c>
      <c r="K231" s="23" t="n">
        <f aca="false">Table1457[[#This Row],[LL]]-Table1457[[#This Row],[PL]]</f>
        <v>32.1</v>
      </c>
      <c r="L231" s="44" t="n">
        <v>12</v>
      </c>
      <c r="M231" s="44"/>
      <c r="N231" s="45" t="n">
        <f aca="false">Table1457[[#This Row],[UCS_std_Soaked_7Days]]</f>
        <v>137.43</v>
      </c>
      <c r="O231" s="44" t="n">
        <v>137.43</v>
      </c>
      <c r="P231" s="44"/>
      <c r="Q231" s="44" t="n">
        <v>241.66</v>
      </c>
      <c r="R231" s="44"/>
      <c r="S231" s="46" t="s">
        <v>63</v>
      </c>
      <c r="AMH231" s="0"/>
      <c r="AMI231" s="0"/>
      <c r="AMJ231" s="0"/>
    </row>
    <row r="232" s="47" customFormat="true" ht="14.9" hidden="false" customHeight="false" outlineLevel="0" collapsed="false">
      <c r="A232" s="48"/>
      <c r="B232" s="44" t="s">
        <v>23</v>
      </c>
      <c r="C232" s="44" t="n">
        <v>0.2</v>
      </c>
      <c r="D232" s="49" t="n">
        <v>0.2</v>
      </c>
      <c r="E232" s="49" t="n">
        <v>60.8</v>
      </c>
      <c r="F232" s="49" t="n">
        <v>39</v>
      </c>
      <c r="G232" s="49" t="n">
        <f aca="false">Table1457[[#This Row],[Clay]]+Table1457[[#This Row],[Silt]]</f>
        <v>99.8</v>
      </c>
      <c r="H232" s="49" t="n">
        <f aca="false">100-Table1457[[#This Row],[Clay2]]-Table1457[[#This Row],[Sand]]</f>
        <v>2.83106871279415E-015</v>
      </c>
      <c r="I232" s="49" t="n">
        <v>52.1</v>
      </c>
      <c r="J232" s="49" t="n">
        <v>20</v>
      </c>
      <c r="K232" s="23" t="n">
        <f aca="false">Table1457[[#This Row],[LL]]-Table1457[[#This Row],[PL]]</f>
        <v>32.1</v>
      </c>
      <c r="L232" s="44" t="n">
        <v>14</v>
      </c>
      <c r="M232" s="44"/>
      <c r="N232" s="45" t="n">
        <f aca="false">Table1457[[#This Row],[UCS_std_Soaked_7Days]]</f>
        <v>132.39</v>
      </c>
      <c r="O232" s="44" t="n">
        <v>132.39</v>
      </c>
      <c r="P232" s="44"/>
      <c r="Q232" s="44" t="n">
        <v>250.7</v>
      </c>
      <c r="R232" s="44"/>
      <c r="S232" s="46" t="s">
        <v>63</v>
      </c>
      <c r="AMH232" s="0"/>
      <c r="AMI232" s="0"/>
      <c r="AMJ232" s="0"/>
    </row>
    <row r="233" s="47" customFormat="true" ht="14.9" hidden="false" customHeight="false" outlineLevel="0" collapsed="false">
      <c r="A233" s="48" t="s">
        <v>75</v>
      </c>
      <c r="B233" s="44" t="s">
        <v>23</v>
      </c>
      <c r="C233" s="44" t="n">
        <v>0.2</v>
      </c>
      <c r="D233" s="49" t="n">
        <v>16</v>
      </c>
      <c r="E233" s="49" t="n">
        <v>13.5</v>
      </c>
      <c r="F233" s="49" t="n">
        <v>70.5</v>
      </c>
      <c r="G233" s="49" t="n">
        <f aca="false">Table1457[[#This Row],[Clay]]+Table1457[[#This Row],[Silt]]</f>
        <v>84</v>
      </c>
      <c r="H233" s="49" t="n">
        <f aca="false">100-Table1457[[#This Row],[Clay2]]-Table1457[[#This Row],[Sand]]</f>
        <v>0</v>
      </c>
      <c r="I233" s="49" t="n">
        <v>75.6</v>
      </c>
      <c r="J233" s="49" t="n">
        <v>25.6</v>
      </c>
      <c r="K233" s="49" t="n">
        <v>50</v>
      </c>
      <c r="L233" s="44" t="n">
        <v>4</v>
      </c>
      <c r="M233" s="44"/>
      <c r="N233" s="45" t="n">
        <f aca="false">Table1457[[#This Row],[UCS_std_Soaked_7Days]]</f>
        <v>0</v>
      </c>
      <c r="O233" s="44" t="n">
        <v>0</v>
      </c>
      <c r="P233" s="44"/>
      <c r="Q233" s="44" t="n">
        <v>0</v>
      </c>
      <c r="R233" s="44"/>
      <c r="S233" s="46" t="s">
        <v>63</v>
      </c>
      <c r="AMH233" s="0"/>
      <c r="AMI233" s="0"/>
      <c r="AMJ233" s="0"/>
    </row>
    <row r="234" s="47" customFormat="true" ht="14.9" hidden="false" customHeight="false" outlineLevel="0" collapsed="false">
      <c r="A234" s="48"/>
      <c r="B234" s="44" t="s">
        <v>23</v>
      </c>
      <c r="C234" s="44" t="n">
        <v>0.2</v>
      </c>
      <c r="D234" s="49" t="n">
        <v>16</v>
      </c>
      <c r="E234" s="49" t="n">
        <v>13.5</v>
      </c>
      <c r="F234" s="49" t="n">
        <v>70.5</v>
      </c>
      <c r="G234" s="49" t="n">
        <f aca="false">Table1457[[#This Row],[Clay]]+Table1457[[#This Row],[Silt]]</f>
        <v>84</v>
      </c>
      <c r="H234" s="49" t="n">
        <f aca="false">100-Table1457[[#This Row],[Clay2]]-Table1457[[#This Row],[Sand]]</f>
        <v>0</v>
      </c>
      <c r="I234" s="49" t="n">
        <v>75.6</v>
      </c>
      <c r="J234" s="49" t="n">
        <v>25.6</v>
      </c>
      <c r="K234" s="49" t="n">
        <v>50</v>
      </c>
      <c r="L234" s="44" t="n">
        <v>6</v>
      </c>
      <c r="M234" s="44"/>
      <c r="N234" s="45" t="n">
        <f aca="false">Table1457[[#This Row],[UCS_std_Soaked_7Days]]</f>
        <v>83.03</v>
      </c>
      <c r="O234" s="44" t="n">
        <v>83.03</v>
      </c>
      <c r="P234" s="44"/>
      <c r="Q234" s="44" t="n">
        <v>66.31</v>
      </c>
      <c r="R234" s="44"/>
      <c r="S234" s="46" t="s">
        <v>63</v>
      </c>
      <c r="AMH234" s="0"/>
      <c r="AMI234" s="0"/>
      <c r="AMJ234" s="0"/>
    </row>
    <row r="235" s="47" customFormat="true" ht="14.9" hidden="false" customHeight="false" outlineLevel="0" collapsed="false">
      <c r="A235" s="48"/>
      <c r="B235" s="44" t="s">
        <v>23</v>
      </c>
      <c r="C235" s="44" t="n">
        <v>0.2</v>
      </c>
      <c r="D235" s="49" t="n">
        <v>16</v>
      </c>
      <c r="E235" s="49" t="n">
        <v>13.5</v>
      </c>
      <c r="F235" s="49" t="n">
        <v>70.5</v>
      </c>
      <c r="G235" s="49" t="n">
        <f aca="false">Table1457[[#This Row],[Clay]]+Table1457[[#This Row],[Silt]]</f>
        <v>84</v>
      </c>
      <c r="H235" s="49" t="n">
        <f aca="false">100-Table1457[[#This Row],[Clay2]]-Table1457[[#This Row],[Sand]]</f>
        <v>0</v>
      </c>
      <c r="I235" s="49" t="n">
        <v>75.6</v>
      </c>
      <c r="J235" s="49" t="n">
        <v>25.6</v>
      </c>
      <c r="K235" s="49" t="n">
        <v>50</v>
      </c>
      <c r="L235" s="44" t="n">
        <v>8</v>
      </c>
      <c r="M235" s="44"/>
      <c r="N235" s="45" t="n">
        <f aca="false">Table1457[[#This Row],[UCS_std_Soaked_7Days]]</f>
        <v>133.01</v>
      </c>
      <c r="O235" s="44" t="n">
        <v>133.01</v>
      </c>
      <c r="P235" s="44"/>
      <c r="Q235" s="44" t="n">
        <v>199.91</v>
      </c>
      <c r="R235" s="44"/>
      <c r="S235" s="46" t="s">
        <v>63</v>
      </c>
      <c r="AMH235" s="0"/>
      <c r="AMI235" s="0"/>
      <c r="AMJ235" s="0"/>
    </row>
    <row r="236" s="47" customFormat="true" ht="14.9" hidden="false" customHeight="false" outlineLevel="0" collapsed="false">
      <c r="A236" s="48"/>
      <c r="B236" s="44" t="s">
        <v>23</v>
      </c>
      <c r="C236" s="44" t="n">
        <v>0.2</v>
      </c>
      <c r="D236" s="49" t="n">
        <v>16</v>
      </c>
      <c r="E236" s="49" t="n">
        <v>13.5</v>
      </c>
      <c r="F236" s="49" t="n">
        <v>70.5</v>
      </c>
      <c r="G236" s="49" t="n">
        <f aca="false">Table1457[[#This Row],[Clay]]+Table1457[[#This Row],[Silt]]</f>
        <v>84</v>
      </c>
      <c r="H236" s="49" t="n">
        <f aca="false">100-Table1457[[#This Row],[Clay2]]-Table1457[[#This Row],[Sand]]</f>
        <v>0</v>
      </c>
      <c r="I236" s="49" t="n">
        <v>75.6</v>
      </c>
      <c r="J236" s="49" t="n">
        <v>25.6</v>
      </c>
      <c r="K236" s="49" t="n">
        <v>50</v>
      </c>
      <c r="L236" s="44" t="n">
        <v>10</v>
      </c>
      <c r="M236" s="44"/>
      <c r="N236" s="45" t="n">
        <f aca="false">Table1457[[#This Row],[UCS_std_Soaked_7Days]]</f>
        <v>160.68</v>
      </c>
      <c r="O236" s="44" t="n">
        <v>160.68</v>
      </c>
      <c r="P236" s="44"/>
      <c r="Q236" s="44" t="n">
        <v>216.43</v>
      </c>
      <c r="R236" s="44"/>
      <c r="S236" s="46" t="s">
        <v>63</v>
      </c>
      <c r="AMH236" s="0"/>
      <c r="AMI236" s="0"/>
      <c r="AMJ236" s="0"/>
    </row>
    <row r="237" s="47" customFormat="true" ht="14.9" hidden="false" customHeight="false" outlineLevel="0" collapsed="false">
      <c r="A237" s="48"/>
      <c r="B237" s="44" t="s">
        <v>23</v>
      </c>
      <c r="C237" s="44" t="n">
        <v>0.2</v>
      </c>
      <c r="D237" s="49" t="n">
        <v>16</v>
      </c>
      <c r="E237" s="49" t="n">
        <v>13.5</v>
      </c>
      <c r="F237" s="49" t="n">
        <v>70.5</v>
      </c>
      <c r="G237" s="49" t="n">
        <f aca="false">Table1457[[#This Row],[Clay]]+Table1457[[#This Row],[Silt]]</f>
        <v>84</v>
      </c>
      <c r="H237" s="49" t="n">
        <f aca="false">100-Table1457[[#This Row],[Clay2]]-Table1457[[#This Row],[Sand]]</f>
        <v>0</v>
      </c>
      <c r="I237" s="49" t="n">
        <v>75.6</v>
      </c>
      <c r="J237" s="49" t="n">
        <v>25.6</v>
      </c>
      <c r="K237" s="49" t="n">
        <v>50</v>
      </c>
      <c r="L237" s="44" t="n">
        <v>12</v>
      </c>
      <c r="M237" s="44"/>
      <c r="N237" s="45" t="n">
        <f aca="false">Table1457[[#This Row],[UCS_std_Soaked_7Days]]</f>
        <v>178.6</v>
      </c>
      <c r="O237" s="44" t="n">
        <v>178.6</v>
      </c>
      <c r="P237" s="44"/>
      <c r="Q237" s="44" t="n">
        <v>245.5</v>
      </c>
      <c r="R237" s="44"/>
      <c r="S237" s="46" t="s">
        <v>63</v>
      </c>
      <c r="AMH237" s="0"/>
      <c r="AMI237" s="0"/>
      <c r="AMJ237" s="0"/>
    </row>
    <row r="238" s="47" customFormat="true" ht="14.9" hidden="false" customHeight="false" outlineLevel="0" collapsed="false">
      <c r="A238" s="48"/>
      <c r="B238" s="44" t="s">
        <v>23</v>
      </c>
      <c r="C238" s="44" t="n">
        <v>0.2</v>
      </c>
      <c r="D238" s="49" t="n">
        <v>16</v>
      </c>
      <c r="E238" s="49" t="n">
        <v>13.5</v>
      </c>
      <c r="F238" s="49" t="n">
        <v>70.5</v>
      </c>
      <c r="G238" s="49" t="n">
        <f aca="false">Table1457[[#This Row],[Clay]]+Table1457[[#This Row],[Silt]]</f>
        <v>84</v>
      </c>
      <c r="H238" s="49" t="n">
        <f aca="false">100-Table1457[[#This Row],[Clay2]]-Table1457[[#This Row],[Sand]]</f>
        <v>0</v>
      </c>
      <c r="I238" s="49" t="n">
        <v>75.6</v>
      </c>
      <c r="J238" s="49" t="n">
        <v>25.6</v>
      </c>
      <c r="K238" s="49" t="n">
        <v>50</v>
      </c>
      <c r="L238" s="44" t="n">
        <v>12</v>
      </c>
      <c r="M238" s="44"/>
      <c r="N238" s="45" t="n">
        <f aca="false">Table1457[[#This Row],[UCS_std_Soaked_7Days]]</f>
        <v>178.41</v>
      </c>
      <c r="O238" s="44" t="n">
        <v>178.41</v>
      </c>
      <c r="P238" s="44"/>
      <c r="Q238" s="44" t="n">
        <v>278.75</v>
      </c>
      <c r="R238" s="44"/>
      <c r="S238" s="46" t="s">
        <v>63</v>
      </c>
      <c r="AMH238" s="0"/>
      <c r="AMI238" s="0"/>
      <c r="AMJ238" s="0"/>
    </row>
  </sheetData>
  <mergeCells count="48">
    <mergeCell ref="A2:A4"/>
    <mergeCell ref="A5:A7"/>
    <mergeCell ref="A8:A10"/>
    <mergeCell ref="A11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5:A129"/>
    <mergeCell ref="A130:A133"/>
    <mergeCell ref="A134:A136"/>
    <mergeCell ref="A137:A139"/>
    <mergeCell ref="A140:A145"/>
    <mergeCell ref="A146:A148"/>
    <mergeCell ref="A149:A153"/>
    <mergeCell ref="A154:A158"/>
    <mergeCell ref="A159:A163"/>
    <mergeCell ref="A164:A168"/>
    <mergeCell ref="A169:A173"/>
    <mergeCell ref="A174:A178"/>
    <mergeCell ref="A179:A183"/>
    <mergeCell ref="A184:A188"/>
    <mergeCell ref="A189:A193"/>
    <mergeCell ref="A194:A199"/>
    <mergeCell ref="A200:A205"/>
    <mergeCell ref="A206:A211"/>
    <mergeCell ref="A212:A217"/>
    <mergeCell ref="A218:A224"/>
    <mergeCell ref="A225:A232"/>
    <mergeCell ref="A233:A238"/>
  </mergeCells>
  <hyperlinks>
    <hyperlink ref="S2" r:id="rId1" display="Davidson-US-Iowa-ArmyCorp"/>
    <hyperlink ref="S3" r:id="rId2" display="Davidson-US-Iowa-ArmyCorp"/>
    <hyperlink ref="S4" r:id="rId3" display="Davidson-US-Iowa-ArmyCorp"/>
    <hyperlink ref="S5" r:id="rId4" display="Davidson-US-Iowa-ArmyCorp"/>
    <hyperlink ref="S6" r:id="rId5" display="Davidson-US-Iowa-ArmyCorp"/>
    <hyperlink ref="S7" r:id="rId6" display="Davidson-US-Iowa-ArmyCorp"/>
    <hyperlink ref="S8" r:id="rId7" display="Davidson-US-Iowa-ArmyCorp"/>
    <hyperlink ref="S9" r:id="rId8" display="Davidson-US-Iowa-ArmyCorp"/>
    <hyperlink ref="S10" r:id="rId9" display="Davidson-US-Iowa-ArmyCorp"/>
    <hyperlink ref="S11" r:id="rId10" display="Davidson-US-Iowa-ArmyCorp"/>
    <hyperlink ref="S12" r:id="rId11" display="Davidson-US-Iowa-ArmyCorp"/>
    <hyperlink ref="S13" r:id="rId12" display="Davidson-US-Iowa-ArmyCorp"/>
    <hyperlink ref="S15" r:id="rId13" display="Davidson-Iowa-State"/>
    <hyperlink ref="S16" r:id="rId14" display="Davidson-Iowa-State"/>
    <hyperlink ref="S19" r:id="rId15" display="Davidson-Iowa-State"/>
    <hyperlink ref="S20" r:id="rId16" display="Davidson-Iowa-State"/>
    <hyperlink ref="S23" r:id="rId17" display="Davidson-Iowa-State"/>
    <hyperlink ref="S24" r:id="rId18" display="Davidson-Iowa-State"/>
    <hyperlink ref="S25" r:id="rId19" display="Davidson-Iowa-State"/>
    <hyperlink ref="S26" r:id="rId20" display="Davidson-Iowa-State"/>
    <hyperlink ref="S27" r:id="rId21" display="Davidson-Iowa-State"/>
    <hyperlink ref="S28" r:id="rId22" display="Davidson-Iowa-State"/>
    <hyperlink ref="S29" r:id="rId23" display="Davidson-Iowa-State"/>
    <hyperlink ref="S30" r:id="rId24" display="Davidson-Iowa-State"/>
    <hyperlink ref="S31" r:id="rId25" display="Davidson-Iowa-State"/>
    <hyperlink ref="S32" r:id="rId26" display="Davidson-Iowa-State"/>
    <hyperlink ref="S33" r:id="rId27" display="Davidson-Iowa-State"/>
    <hyperlink ref="S35" r:id="rId28" display="Davidson-Iowa-State"/>
    <hyperlink ref="S36" r:id="rId29" display="Davidson-Iowa-State"/>
    <hyperlink ref="S37" r:id="rId30" display="Davidson-Iowa-State"/>
    <hyperlink ref="S38" r:id="rId31" display="Davidson-Iowa-State"/>
    <hyperlink ref="S39" r:id="rId32" display="Davidson-Iowa-State"/>
    <hyperlink ref="S40" r:id="rId33" display="Davidson-Iowa-State"/>
    <hyperlink ref="S41" r:id="rId34" display="Davidson-Iowa-State"/>
    <hyperlink ref="S42" r:id="rId35" display="Davidson-Iowa-State"/>
    <hyperlink ref="S43" r:id="rId36" display="Davidson-Iowa-State"/>
    <hyperlink ref="S44" r:id="rId37" display="Davidson-Iowa-State"/>
    <hyperlink ref="S45" r:id="rId38" display="Davidson-Iowa-State"/>
    <hyperlink ref="S46" r:id="rId39" display="Davidson-Iowa-State"/>
    <hyperlink ref="S47" r:id="rId40" display="Davidson-Iowa-State"/>
    <hyperlink ref="S48" r:id="rId41" display="Davidson-Iowa-State"/>
    <hyperlink ref="S49" r:id="rId42" display="Davidson-Iowa-State"/>
    <hyperlink ref="S50" r:id="rId43" display="Davidson-Iowa-State"/>
    <hyperlink ref="S51" r:id="rId44" display="Davidson-Iowa-State"/>
    <hyperlink ref="S52" r:id="rId45" display="Davidson-Iowa-State"/>
    <hyperlink ref="S55" r:id="rId46" display="Davidson-Iowa-State"/>
    <hyperlink ref="S56" r:id="rId47" display="Davidson-Iowa-State"/>
    <hyperlink ref="S59" r:id="rId48" display="Davidson-Iowa-State"/>
    <hyperlink ref="S98" r:id="rId49" display="Davidson-Iowa-State"/>
    <hyperlink ref="S99" r:id="rId50" display="Davidson-Iowa-State"/>
    <hyperlink ref="S100" r:id="rId51" display="Davidson-Iowa-State"/>
    <hyperlink ref="S101" r:id="rId52" display="Davidson-Iowa-State"/>
    <hyperlink ref="S102" r:id="rId53" display="Davidson-Iowa-State"/>
    <hyperlink ref="S103" r:id="rId54" display="Davidson-Iowa-State"/>
    <hyperlink ref="S104" r:id="rId55" display="Davidson-Iowa-State"/>
    <hyperlink ref="S105" r:id="rId56" display="Davidson-Iowa-State"/>
    <hyperlink ref="S106" r:id="rId57" display="Davidson-Iowa-State"/>
    <hyperlink ref="S107" r:id="rId58" display="Davidson-Iowa-State"/>
    <hyperlink ref="S108" r:id="rId59" display="Davidson-Iowa-State"/>
    <hyperlink ref="S109" r:id="rId60" display="Davidson-Iowa-State"/>
    <hyperlink ref="S110" r:id="rId61" display="Davidson-Iowa-State"/>
    <hyperlink ref="S111" r:id="rId62" display="Davidson-Iowa-State"/>
    <hyperlink ref="S112" r:id="rId63" display="Davidson-Iowa-State"/>
    <hyperlink ref="S113" r:id="rId64" display="Davidson-Iowa-State"/>
    <hyperlink ref="S114" r:id="rId65" display="Davidson-Iowa-State"/>
    <hyperlink ref="S115" r:id="rId66" display="Davidson-HRB_page-28"/>
    <hyperlink ref="S116" r:id="rId67" display="Davidson-HRB_page-28"/>
    <hyperlink ref="S117" r:id="rId68" display="Davidson-HRB_page-28"/>
    <hyperlink ref="S118" r:id="rId69" display="Davidson-HRB_page-28"/>
    <hyperlink ref="S119" r:id="rId70" display="Davidson-HRB_page-28"/>
    <hyperlink ref="S120" r:id="rId71" display="Davidson-HRB_page-28"/>
    <hyperlink ref="S121" r:id="rId72" display="Davidson-HRB_page-28"/>
    <hyperlink ref="S122" r:id="rId73" display="Davidson-HRB_page-28"/>
    <hyperlink ref="S123" r:id="rId74" display="Davidson-HRB_page-28"/>
    <hyperlink ref="S124" r:id="rId75" display="Davidson-HRB_page-28"/>
    <hyperlink ref="S125" r:id="rId76" display="Davidson-HRB_page-28"/>
    <hyperlink ref="S126" r:id="rId77" display="Davidson-HRB_page-28"/>
    <hyperlink ref="S127" r:id="rId78" display="Davidson-HRB_page-28"/>
    <hyperlink ref="S128" r:id="rId79" display="Davidson-HRB_page-28"/>
    <hyperlink ref="S129" r:id="rId80" display="Davidson-HRB_page-28"/>
    <hyperlink ref="S130" r:id="rId81" display="Davidsons - Cement Stabilization"/>
    <hyperlink ref="S131" r:id="rId82" display="Davidsons - Cement Stabilization"/>
    <hyperlink ref="S132" r:id="rId83" display="Davidsons - Cement Stabilization"/>
    <hyperlink ref="S133" r:id="rId84" display="Davidsons - Cement Stabilization"/>
    <hyperlink ref="S134" r:id="rId85" display="Davidsons - Cement Stabilization"/>
    <hyperlink ref="S135" r:id="rId86" display="Davidsons - Cement Stabilization"/>
    <hyperlink ref="S136" r:id="rId87" display="Davidsons - Cement Stabilization"/>
    <hyperlink ref="S137" r:id="rId88" display="Davidsons - Cement Stabilization"/>
    <hyperlink ref="S138" r:id="rId89" display="Davidsons - Cement Stabilization"/>
    <hyperlink ref="S139" r:id="rId90" display="Davidsons - Cement Stabilization"/>
    <hyperlink ref="S140" r:id="rId91" display="Davidsons - Cement Stabilization"/>
    <hyperlink ref="S141" r:id="rId92" display="Davidsons - Cement Stabilization"/>
    <hyperlink ref="S142" r:id="rId93" display="Davidsons - Cement Stabilization"/>
    <hyperlink ref="S143" r:id="rId94" display="Davidsons - Cement Stabilization"/>
    <hyperlink ref="S144" r:id="rId95" display="Davidsons - Cement Stabilization"/>
    <hyperlink ref="S145" r:id="rId96" display="Davidsons - Cement Stabilization"/>
    <hyperlink ref="S146" r:id="rId97" display="Davidsons - Cement Stabilization"/>
    <hyperlink ref="S147" r:id="rId98" display="Davidsons - Cement Stabilization"/>
    <hyperlink ref="S148" r:id="rId99" display="Davidsons - Cement Stabilization"/>
    <hyperlink ref="S149" r:id="rId100" display="Davidson - Lime Stabilization"/>
    <hyperlink ref="S150" r:id="rId101" display="Davidson - Lime Stabilization"/>
    <hyperlink ref="S151" r:id="rId102" display="Davidson - Lime Stabilization"/>
    <hyperlink ref="S152" r:id="rId103" display="Davidson - Lime Stabilization"/>
    <hyperlink ref="S153" r:id="rId104" display="Davidson - Lime Stabilization"/>
    <hyperlink ref="S154" r:id="rId105" display="Davidson - Lime Stabilization"/>
    <hyperlink ref="S155" r:id="rId106" display="Davidson - Lime Stabilization"/>
    <hyperlink ref="S156" r:id="rId107" display="Davidson - Lime Stabilization"/>
    <hyperlink ref="S157" r:id="rId108" display="Davidson - Lime Stabilization"/>
    <hyperlink ref="S158" r:id="rId109" display="Davidson - Lime Stabilization"/>
    <hyperlink ref="S159" r:id="rId110" display="Davidson - Lime Stabilization"/>
    <hyperlink ref="S160" r:id="rId111" display="Davidson - Lime Stabilization"/>
    <hyperlink ref="S161" r:id="rId112" display="Davidson - Lime Stabilization"/>
    <hyperlink ref="S162" r:id="rId113" display="Davidson - Lime Stabilization"/>
    <hyperlink ref="S163" r:id="rId114" display="Davidson - Lime Stabilization"/>
    <hyperlink ref="S164" r:id="rId115" display="Davidson - Lime Stabilization"/>
    <hyperlink ref="S165" r:id="rId116" display="Davidson - Lime Stabilization"/>
    <hyperlink ref="S166" r:id="rId117" display="Davidson - Lime Stabilization"/>
    <hyperlink ref="S167" r:id="rId118" display="Davidson - Lime Stabilization"/>
    <hyperlink ref="S168" r:id="rId119" display="Davidson - Lime Stabilization"/>
    <hyperlink ref="S169" r:id="rId120" display="Davidson - Lime Stabilization"/>
    <hyperlink ref="S170" r:id="rId121" display="Davidson - Lime Stabilization"/>
    <hyperlink ref="S171" r:id="rId122" display="Davidson - Lime Stabilization"/>
    <hyperlink ref="S172" r:id="rId123" display="Davidson - Lime Stabilization"/>
    <hyperlink ref="S173" r:id="rId124" display="Davidson - Lime Stabilization"/>
    <hyperlink ref="S174" r:id="rId125" display="Davidson - Lime Stabilization"/>
    <hyperlink ref="S175" r:id="rId126" display="Davidson - Lime Stabilization"/>
    <hyperlink ref="S176" r:id="rId127" display="Davidson - Lime Stabilization"/>
    <hyperlink ref="S177" r:id="rId128" display="Davidson - Lime Stabilization"/>
    <hyperlink ref="S178" r:id="rId129" display="Davidson - Lime Stabilization"/>
    <hyperlink ref="S179" r:id="rId130" display="Davidson - Lime Stabilization"/>
    <hyperlink ref="S180" r:id="rId131" display="Davidson - Lime Stabilization"/>
    <hyperlink ref="S181" r:id="rId132" display="Davidson - Lime Stabilization"/>
    <hyperlink ref="S182" r:id="rId133" display="Davidson - Lime Stabilization"/>
    <hyperlink ref="S183" r:id="rId134" display="Davidson - Lime Stabilization"/>
    <hyperlink ref="S184" r:id="rId135" display="Davidson - Lime Stabilization"/>
    <hyperlink ref="S185" r:id="rId136" display="Davidson - Lime Stabilization"/>
    <hyperlink ref="S186" r:id="rId137" display="Davidson - Lime Stabilization"/>
    <hyperlink ref="S187" r:id="rId138" display="Davidson - Lime Stabilization"/>
    <hyperlink ref="S188" r:id="rId139" display="Davidson - Lime Stabilization"/>
    <hyperlink ref="S189" r:id="rId140" display="Davidson - Lime Stabilization"/>
    <hyperlink ref="S190" r:id="rId141" display="Davidson - Lime Stabilization"/>
    <hyperlink ref="S191" r:id="rId142" display="Davidson - Lime Stabilization"/>
    <hyperlink ref="S192" r:id="rId143" display="Davidson - Lime Stabilization"/>
    <hyperlink ref="S193" r:id="rId144" display="Davidson - Lime Stabilization"/>
    <hyperlink ref="S194" r:id="rId145" display="Whitehurst - Tennesse-Gravel Stabilization"/>
    <hyperlink ref="S195" r:id="rId146" display="Whitehurst - Tennesse-Gravel Stabilization"/>
    <hyperlink ref="S196" r:id="rId147" display="Whitehurst - Tennesse-Gravel Stabilization"/>
    <hyperlink ref="S197" r:id="rId148" display="Whitehurst - Tennesse-Gravel Stabilization"/>
    <hyperlink ref="S198" r:id="rId149" display="Whitehurst - Tennesse-Gravel Stabilization"/>
    <hyperlink ref="S199" r:id="rId150" display="Whitehurst - Tennesse-Gravel Stabilization"/>
    <hyperlink ref="S200" r:id="rId151" display="Whitehurst - Tennesse-Gravel Stabilization"/>
    <hyperlink ref="S201" r:id="rId152" display="Whitehurst - Tennesse-Gravel Stabilization"/>
    <hyperlink ref="S202" r:id="rId153" display="Whitehurst - Tennesse-Gravel Stabilization"/>
    <hyperlink ref="S203" r:id="rId154" display="Whitehurst - Tennesse-Gravel Stabilization"/>
    <hyperlink ref="S204" r:id="rId155" display="Whitehurst - Tennesse-Gravel Stabilization"/>
    <hyperlink ref="S205" r:id="rId156" display="Whitehurst - Tennesse-Gravel Stabilization"/>
    <hyperlink ref="S206" r:id="rId157" display="Whitehurst - Tennesse-Gravel Stabilization"/>
    <hyperlink ref="S207" r:id="rId158" display="Whitehurst - Tennesse-Gravel Stabilization"/>
    <hyperlink ref="S208" r:id="rId159" display="Whitehurst - Tennesse-Gravel Stabilization"/>
    <hyperlink ref="S209" r:id="rId160" display="Whitehurst - Tennesse-Gravel Stabilization"/>
    <hyperlink ref="S210" r:id="rId161" display="Whitehurst - Tennesse-Gravel Stabilization"/>
    <hyperlink ref="S211" r:id="rId162" display="Whitehurst - Tennesse-Gravel Stabilization"/>
    <hyperlink ref="S212" r:id="rId163" display="Whitehurst - Tennesse-Gravel Stabilization"/>
    <hyperlink ref="S213" r:id="rId164" display="Whitehurst - Tennesse-Gravel Stabilization"/>
    <hyperlink ref="S214" r:id="rId165" display="Whitehurst - Tennesse-Gravel Stabilization"/>
    <hyperlink ref="S215" r:id="rId166" display="Whitehurst - Tennesse-Gravel Stabilization"/>
    <hyperlink ref="S216" r:id="rId167" display="Whitehurst - Tennesse-Gravel Stabilization"/>
    <hyperlink ref="S217" r:id="rId168" display="Whitehurst - Tennesse-Gravel Stabilization"/>
    <hyperlink ref="S218" r:id="rId169" display="Davidson - Lime Stabilization"/>
    <hyperlink ref="S219" r:id="rId170" display="Davidson - Lime Stabilization"/>
    <hyperlink ref="S220" r:id="rId171" display="Davidson - Lime Stabilization"/>
    <hyperlink ref="S221" r:id="rId172" display="Davidson - Lime Stabilization"/>
    <hyperlink ref="S222" r:id="rId173" display="Davidson - Lime Stabilization"/>
    <hyperlink ref="S223" r:id="rId174" display="Davidson - Lime Stabilization"/>
    <hyperlink ref="S224" r:id="rId175" display="Davidson - Lime Stabilization"/>
    <hyperlink ref="S225" r:id="rId176" display="Davidson - Lime Stabilization"/>
    <hyperlink ref="S226" r:id="rId177" display="Davidson - Lime Stabilization"/>
    <hyperlink ref="S227" r:id="rId178" display="Davidson - Lime Stabilization"/>
    <hyperlink ref="S228" r:id="rId179" display="Davidson - Lime Stabilization"/>
    <hyperlink ref="S229" r:id="rId180" display="Davidson - Lime Stabilization"/>
    <hyperlink ref="S230" r:id="rId181" display="Davidson - Lime Stabilization"/>
    <hyperlink ref="S231" r:id="rId182" display="Davidson - Lime Stabilization"/>
    <hyperlink ref="S232" r:id="rId183" display="Davidson - Lime Stabilization"/>
    <hyperlink ref="S233" r:id="rId184" display="Davidson - Lime Stabilization"/>
    <hyperlink ref="S234" r:id="rId185" display="Davidson - Lime Stabilization"/>
    <hyperlink ref="S235" r:id="rId186" display="Davidson - Lime Stabilization"/>
    <hyperlink ref="S236" r:id="rId187" display="Davidson - Lime Stabilization"/>
    <hyperlink ref="S237" r:id="rId188" display="Davidson - Lime Stabilization"/>
    <hyperlink ref="S238" r:id="rId189" display="Davidson - Lime Stabilizatio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rowBreaks count="5" manualBreakCount="5">
    <brk id="13" man="true" max="16383" min="0"/>
    <brk id="69" man="true" max="16383" min="0"/>
    <brk id="114" man="true" max="16383" min="0"/>
    <brk id="148" man="true" max="16383" min="0"/>
    <brk id="193" man="true" max="16383" min="0"/>
  </rowBreaks>
  <tableParts>
    <tablePart r:id="rId19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2021-01-05T16:49:45Z</dcterms:created>
  <dc:creator/>
  <dc:description/>
  <dc:language>en-US</dc:language>
  <cp:lastModifiedBy/>
  <dcterms:modified xsi:type="dcterms:W3CDTF">2021-01-13T17:17:08Z</dcterms:modified>
  <cp:revision>2</cp:revision>
  <dc:subject/>
  <dc:title/>
</cp:coreProperties>
</file>